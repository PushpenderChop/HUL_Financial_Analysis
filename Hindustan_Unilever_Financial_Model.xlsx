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8E70DAA-EB3B-4BD6-8FE6-7A33E921A913}" xr6:coauthVersionLast="47" xr6:coauthVersionMax="47" xr10:uidLastSave="{00000000-0000-0000-0000-000000000000}"/>
  <bookViews>
    <workbookView xWindow="-108" yWindow="-108" windowWidth="23256" windowHeight="12456" tabRatio="677" firstSheet="1" activeTab="7" xr2:uid="{00000000-000D-0000-FFFF-FFFF00000000}"/>
  </bookViews>
  <sheets>
    <sheet name="Profit &amp; Loss" sheetId="1" state="hidden" r:id="rId1"/>
    <sheet name="Quarters" sheetId="3" r:id="rId2"/>
    <sheet name="Balance Sheet" sheetId="2" state="hidden" r:id="rId3"/>
    <sheet name="Cash Flow" sheetId="4" state="hidden" r:id="rId4"/>
    <sheet name="Customization" sheetId="5" state="hidden" r:id="rId5"/>
    <sheet name="Data Sheet" sheetId="6" r:id="rId6"/>
    <sheet name="Historical FS" sheetId="7" r:id="rId7"/>
    <sheet name="Ratio Analysis" sheetId="8" r:id="rId8"/>
    <sheet name="DCF Modelling" sheetId="10" r:id="rId9"/>
    <sheet name="COMP Analysis" sheetId="11" r:id="rId10"/>
    <sheet name="Common Size Statement" sheetId="13" r:id="rId11"/>
    <sheet name="Trend Analysis" sheetId="14" r:id="rId12"/>
  </sheets>
  <definedNames>
    <definedName name="UPDATE">'Data Sheet'!$E$1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5" i="7" l="1"/>
  <c r="E95" i="7"/>
  <c r="F95" i="7"/>
  <c r="G95" i="7"/>
  <c r="H95" i="7"/>
  <c r="I95" i="7"/>
  <c r="J95" i="7"/>
  <c r="K95" i="7"/>
  <c r="L95" i="7"/>
  <c r="M95" i="7"/>
  <c r="N95" i="7"/>
  <c r="O95" i="7"/>
  <c r="P95" i="7"/>
  <c r="C95" i="7"/>
  <c r="B43" i="13"/>
  <c r="B41" i="13"/>
  <c r="B40" i="13"/>
  <c r="B39" i="13"/>
  <c r="B38" i="13"/>
  <c r="B37" i="13"/>
  <c r="B36" i="13"/>
  <c r="B35" i="13"/>
  <c r="B34" i="13"/>
  <c r="B33" i="13"/>
  <c r="B31" i="13"/>
  <c r="B29" i="13"/>
  <c r="B28" i="13"/>
  <c r="B27" i="13"/>
  <c r="B26" i="13"/>
  <c r="B25" i="13"/>
  <c r="L24" i="13"/>
  <c r="K24" i="13"/>
  <c r="J24" i="13"/>
  <c r="I24" i="13"/>
  <c r="H24" i="13"/>
  <c r="G24" i="13"/>
  <c r="F24" i="13"/>
  <c r="E24" i="13"/>
  <c r="D24" i="13"/>
  <c r="C24" i="13"/>
  <c r="B23" i="13"/>
  <c r="L20" i="13"/>
  <c r="K20" i="13"/>
  <c r="J20" i="13"/>
  <c r="I20" i="13"/>
  <c r="H20" i="13"/>
  <c r="G20" i="13"/>
  <c r="F20" i="13"/>
  <c r="E20" i="13"/>
  <c r="D20" i="13"/>
  <c r="C20" i="13"/>
  <c r="B20" i="13"/>
  <c r="L19" i="13"/>
  <c r="K19" i="13"/>
  <c r="J19" i="13"/>
  <c r="I19" i="13"/>
  <c r="H19" i="13"/>
  <c r="G19" i="13"/>
  <c r="F19" i="13"/>
  <c r="E19" i="13"/>
  <c r="D19" i="13"/>
  <c r="C19" i="13"/>
  <c r="B19" i="13"/>
  <c r="L18" i="13"/>
  <c r="K18" i="13"/>
  <c r="J18" i="13"/>
  <c r="I18" i="13"/>
  <c r="H18" i="13"/>
  <c r="G18" i="13"/>
  <c r="F18" i="13"/>
  <c r="E18" i="13"/>
  <c r="D18" i="13"/>
  <c r="C18" i="13"/>
  <c r="B18" i="13"/>
  <c r="L17" i="13"/>
  <c r="K17" i="13"/>
  <c r="J17" i="13"/>
  <c r="I17" i="13"/>
  <c r="H17" i="13"/>
  <c r="G17" i="13"/>
  <c r="F17" i="13"/>
  <c r="E17" i="13"/>
  <c r="D17" i="13"/>
  <c r="C17" i="13"/>
  <c r="B17" i="13"/>
  <c r="L16" i="13"/>
  <c r="K16" i="13"/>
  <c r="J16" i="13"/>
  <c r="I16" i="13"/>
  <c r="H16" i="13"/>
  <c r="G16" i="13"/>
  <c r="F16" i="13"/>
  <c r="E16" i="13"/>
  <c r="D16" i="13"/>
  <c r="C16" i="13"/>
  <c r="B16" i="13"/>
  <c r="L15" i="13"/>
  <c r="K15" i="13"/>
  <c r="J15" i="13"/>
  <c r="I15" i="13"/>
  <c r="H15" i="13"/>
  <c r="G15" i="13"/>
  <c r="F15" i="13"/>
  <c r="E15" i="13"/>
  <c r="D15" i="13"/>
  <c r="C15" i="13"/>
  <c r="B15" i="13"/>
  <c r="L14" i="13"/>
  <c r="K14" i="13"/>
  <c r="J14" i="13"/>
  <c r="I14" i="13"/>
  <c r="H14" i="13"/>
  <c r="G14" i="13"/>
  <c r="F14" i="13"/>
  <c r="E14" i="13"/>
  <c r="D14" i="13"/>
  <c r="C14" i="13"/>
  <c r="B14" i="13"/>
  <c r="L13" i="13"/>
  <c r="K13" i="13"/>
  <c r="J13" i="13"/>
  <c r="I13" i="13"/>
  <c r="H13" i="13"/>
  <c r="G13" i="13"/>
  <c r="F13" i="13"/>
  <c r="E13" i="13"/>
  <c r="D13" i="13"/>
  <c r="C13" i="13"/>
  <c r="B13" i="13"/>
  <c r="L12" i="13"/>
  <c r="K12" i="13"/>
  <c r="J12" i="13"/>
  <c r="I12" i="13"/>
  <c r="H12" i="13"/>
  <c r="G12" i="13"/>
  <c r="F12" i="13"/>
  <c r="E12" i="13"/>
  <c r="D12" i="13"/>
  <c r="C12" i="13"/>
  <c r="B12" i="13"/>
  <c r="L11" i="13"/>
  <c r="K11" i="13"/>
  <c r="J11" i="13"/>
  <c r="I11" i="13"/>
  <c r="H11" i="13"/>
  <c r="G11" i="13"/>
  <c r="F11" i="13"/>
  <c r="E11" i="13"/>
  <c r="D11" i="13"/>
  <c r="C11" i="13"/>
  <c r="B11" i="13"/>
  <c r="L10" i="13"/>
  <c r="K10" i="13"/>
  <c r="J10" i="13"/>
  <c r="I10" i="13"/>
  <c r="H10" i="13"/>
  <c r="G10" i="13"/>
  <c r="F10" i="13"/>
  <c r="E10" i="13"/>
  <c r="D10" i="13"/>
  <c r="C10" i="13"/>
  <c r="B10" i="13"/>
  <c r="L9" i="13"/>
  <c r="K9" i="13"/>
  <c r="J9" i="13"/>
  <c r="I9" i="13"/>
  <c r="H9" i="13"/>
  <c r="G9" i="13"/>
  <c r="F9" i="13"/>
  <c r="E9" i="13"/>
  <c r="D9" i="13"/>
  <c r="C9" i="13"/>
  <c r="B9" i="13"/>
  <c r="L8" i="13"/>
  <c r="K8" i="13"/>
  <c r="J8" i="13"/>
  <c r="I8" i="13"/>
  <c r="H8" i="13"/>
  <c r="G8" i="13"/>
  <c r="F8" i="13"/>
  <c r="E8" i="13"/>
  <c r="D8" i="13"/>
  <c r="C8" i="13"/>
  <c r="B8" i="13"/>
  <c r="L7" i="13"/>
  <c r="K7" i="13"/>
  <c r="J7" i="13"/>
  <c r="I7" i="13"/>
  <c r="H7" i="13"/>
  <c r="G7" i="13"/>
  <c r="F7" i="13"/>
  <c r="E7" i="13"/>
  <c r="D7" i="13"/>
  <c r="C7" i="13"/>
  <c r="B7" i="13"/>
  <c r="L6" i="13"/>
  <c r="K6" i="13"/>
  <c r="J6" i="13"/>
  <c r="I6" i="13"/>
  <c r="H6" i="13"/>
  <c r="G6" i="13"/>
  <c r="F6" i="13"/>
  <c r="E6" i="13"/>
  <c r="D6" i="13"/>
  <c r="C6" i="13"/>
  <c r="B6" i="13"/>
  <c r="L5" i="13"/>
  <c r="K5" i="13"/>
  <c r="J5" i="13"/>
  <c r="I5" i="13"/>
  <c r="H5" i="13"/>
  <c r="G5" i="13"/>
  <c r="F5" i="13"/>
  <c r="E5" i="13"/>
  <c r="D5" i="13"/>
  <c r="C5" i="13"/>
  <c r="B5" i="13"/>
  <c r="L4" i="13"/>
  <c r="K4" i="13"/>
  <c r="J4" i="13"/>
  <c r="I4" i="13"/>
  <c r="H4" i="13"/>
  <c r="G4" i="13"/>
  <c r="F4" i="13"/>
  <c r="E4" i="13"/>
  <c r="D4" i="13"/>
  <c r="C4" i="13"/>
  <c r="B4" i="13"/>
  <c r="L3" i="13"/>
  <c r="K3" i="13"/>
  <c r="J3" i="13"/>
  <c r="I3" i="13"/>
  <c r="H3" i="13"/>
  <c r="G3" i="13"/>
  <c r="F3" i="13"/>
  <c r="E3" i="13"/>
  <c r="D3" i="13"/>
  <c r="C3" i="13"/>
  <c r="B2" i="13"/>
  <c r="Q22" i="11"/>
  <c r="P22" i="11"/>
  <c r="O22" i="11"/>
  <c r="N22" i="11"/>
  <c r="P16" i="11"/>
  <c r="P15" i="11"/>
  <c r="P14" i="11"/>
  <c r="P13" i="11"/>
  <c r="P12" i="11"/>
  <c r="P11" i="11"/>
  <c r="Q8" i="11"/>
  <c r="O8" i="11"/>
  <c r="N8" i="11"/>
  <c r="K8" i="11"/>
  <c r="J8" i="11"/>
  <c r="G8" i="11"/>
  <c r="F8" i="11"/>
  <c r="E8" i="11"/>
  <c r="Q7" i="11"/>
  <c r="O7" i="11"/>
  <c r="N7" i="11"/>
  <c r="K7" i="11"/>
  <c r="J7" i="11"/>
  <c r="G7" i="11"/>
  <c r="F7" i="11"/>
  <c r="E7" i="11"/>
  <c r="Q6" i="11"/>
  <c r="O6" i="11"/>
  <c r="N6" i="11"/>
  <c r="K6" i="11"/>
  <c r="J6" i="11"/>
  <c r="G6" i="11"/>
  <c r="F6" i="11"/>
  <c r="E6" i="11"/>
  <c r="E5" i="11"/>
  <c r="B2" i="11"/>
  <c r="F23" i="10"/>
  <c r="C15" i="10"/>
  <c r="C14" i="10"/>
  <c r="C13" i="10"/>
  <c r="O8" i="10"/>
  <c r="N8" i="10"/>
  <c r="M8" i="10"/>
  <c r="L8" i="10"/>
  <c r="K8" i="10"/>
  <c r="J8" i="10"/>
  <c r="I8" i="10"/>
  <c r="H8" i="10"/>
  <c r="G8" i="10"/>
  <c r="F8" i="10"/>
  <c r="C8" i="10"/>
  <c r="C4" i="10"/>
  <c r="E2" i="10"/>
  <c r="B2" i="10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2" i="8"/>
  <c r="L55" i="7"/>
  <c r="K55" i="7"/>
  <c r="J55" i="7"/>
  <c r="I55" i="7"/>
  <c r="H55" i="7"/>
  <c r="G55" i="7"/>
  <c r="F55" i="7"/>
  <c r="E55" i="7"/>
  <c r="D55" i="7"/>
  <c r="C55" i="7"/>
  <c r="L50" i="7"/>
  <c r="K50" i="7"/>
  <c r="J50" i="7"/>
  <c r="I50" i="7"/>
  <c r="H50" i="7"/>
  <c r="G50" i="7"/>
  <c r="F50" i="7"/>
  <c r="E50" i="7"/>
  <c r="D50" i="7"/>
  <c r="C50" i="7"/>
  <c r="L49" i="7"/>
  <c r="K49" i="7"/>
  <c r="J49" i="7"/>
  <c r="I49" i="7"/>
  <c r="H49" i="7"/>
  <c r="G49" i="7"/>
  <c r="F49" i="7"/>
  <c r="E49" i="7"/>
  <c r="D49" i="7"/>
  <c r="C49" i="7"/>
  <c r="L48" i="7"/>
  <c r="O9" i="10" s="1"/>
  <c r="K48" i="7"/>
  <c r="J48" i="7"/>
  <c r="I48" i="7"/>
  <c r="H48" i="7"/>
  <c r="G48" i="7"/>
  <c r="F48" i="7"/>
  <c r="E48" i="7"/>
  <c r="D48" i="7"/>
  <c r="D51" i="7" s="1"/>
  <c r="C48" i="7"/>
  <c r="L46" i="7"/>
  <c r="K46" i="7"/>
  <c r="J46" i="7"/>
  <c r="I46" i="7"/>
  <c r="H46" i="7"/>
  <c r="G46" i="7"/>
  <c r="F46" i="7"/>
  <c r="E46" i="7"/>
  <c r="D46" i="7"/>
  <c r="C46" i="7"/>
  <c r="L45" i="7"/>
  <c r="K45" i="7"/>
  <c r="J45" i="7"/>
  <c r="I45" i="7"/>
  <c r="H45" i="7"/>
  <c r="G45" i="7"/>
  <c r="F45" i="7"/>
  <c r="E45" i="7"/>
  <c r="D45" i="7"/>
  <c r="C45" i="7"/>
  <c r="L44" i="7"/>
  <c r="K44" i="7"/>
  <c r="J44" i="7"/>
  <c r="I44" i="7"/>
  <c r="H44" i="7"/>
  <c r="G44" i="7"/>
  <c r="F44" i="7"/>
  <c r="E44" i="7"/>
  <c r="D44" i="7"/>
  <c r="C44" i="7"/>
  <c r="L43" i="7"/>
  <c r="K43" i="7"/>
  <c r="J43" i="7"/>
  <c r="I43" i="7"/>
  <c r="H43" i="7"/>
  <c r="G43" i="7"/>
  <c r="F43" i="7"/>
  <c r="E43" i="7"/>
  <c r="D43" i="7"/>
  <c r="C43" i="7"/>
  <c r="L38" i="7"/>
  <c r="K38" i="7"/>
  <c r="J38" i="7"/>
  <c r="I38" i="7"/>
  <c r="H38" i="7"/>
  <c r="G38" i="7"/>
  <c r="F38" i="7"/>
  <c r="E38" i="7"/>
  <c r="D38" i="7"/>
  <c r="C38" i="7"/>
  <c r="L37" i="7"/>
  <c r="K37" i="7"/>
  <c r="J37" i="7"/>
  <c r="I37" i="7"/>
  <c r="H37" i="7"/>
  <c r="G37" i="7"/>
  <c r="F37" i="7"/>
  <c r="E37" i="7"/>
  <c r="D37" i="7"/>
  <c r="C37" i="7"/>
  <c r="L36" i="7"/>
  <c r="K36" i="7"/>
  <c r="J36" i="7"/>
  <c r="I36" i="7"/>
  <c r="H36" i="7"/>
  <c r="G36" i="7"/>
  <c r="F36" i="7"/>
  <c r="E36" i="7"/>
  <c r="D36" i="7"/>
  <c r="C36" i="7"/>
  <c r="L35" i="7"/>
  <c r="L32" i="8" s="1"/>
  <c r="K35" i="7"/>
  <c r="J35" i="7"/>
  <c r="I35" i="7"/>
  <c r="H35" i="7"/>
  <c r="G35" i="7"/>
  <c r="F35" i="7"/>
  <c r="E35" i="7"/>
  <c r="D35" i="7"/>
  <c r="C35" i="7"/>
  <c r="L29" i="7"/>
  <c r="K29" i="7"/>
  <c r="J29" i="7"/>
  <c r="I29" i="7"/>
  <c r="H29" i="7"/>
  <c r="G29" i="7"/>
  <c r="F29" i="7"/>
  <c r="E29" i="7"/>
  <c r="D29" i="7"/>
  <c r="C29" i="7"/>
  <c r="L24" i="7"/>
  <c r="K24" i="7"/>
  <c r="J24" i="7"/>
  <c r="I24" i="7"/>
  <c r="H24" i="7"/>
  <c r="G24" i="7"/>
  <c r="F24" i="7"/>
  <c r="E24" i="7"/>
  <c r="D24" i="7"/>
  <c r="C24" i="7"/>
  <c r="L19" i="7"/>
  <c r="O7" i="10" s="1"/>
  <c r="K19" i="7"/>
  <c r="N7" i="10" s="1"/>
  <c r="J19" i="7"/>
  <c r="M7" i="10" s="1"/>
  <c r="I19" i="7"/>
  <c r="L7" i="10" s="1"/>
  <c r="H19" i="7"/>
  <c r="K7" i="10" s="1"/>
  <c r="G19" i="7"/>
  <c r="J7" i="10" s="1"/>
  <c r="F19" i="7"/>
  <c r="I7" i="10" s="1"/>
  <c r="E19" i="7"/>
  <c r="H7" i="10" s="1"/>
  <c r="D19" i="7"/>
  <c r="G7" i="10" s="1"/>
  <c r="C19" i="7"/>
  <c r="F7" i="10" s="1"/>
  <c r="L14" i="7"/>
  <c r="K14" i="7"/>
  <c r="J14" i="7"/>
  <c r="I14" i="7"/>
  <c r="H14" i="7"/>
  <c r="G14" i="7"/>
  <c r="F14" i="7"/>
  <c r="E14" i="7"/>
  <c r="D14" i="7"/>
  <c r="C14" i="7"/>
  <c r="L9" i="7"/>
  <c r="L19" i="8" s="1"/>
  <c r="L36" i="8" s="1"/>
  <c r="K9" i="7"/>
  <c r="J9" i="7"/>
  <c r="J19" i="8" s="1"/>
  <c r="J36" i="8" s="1"/>
  <c r="I9" i="7"/>
  <c r="H9" i="7"/>
  <c r="G9" i="7"/>
  <c r="F9" i="7"/>
  <c r="F19" i="8" s="1"/>
  <c r="F36" i="8" s="1"/>
  <c r="E9" i="7"/>
  <c r="E19" i="8" s="1"/>
  <c r="E36" i="8" s="1"/>
  <c r="D9" i="7"/>
  <c r="C9" i="7"/>
  <c r="L6" i="7"/>
  <c r="K6" i="7"/>
  <c r="J6" i="7"/>
  <c r="K7" i="7" s="1"/>
  <c r="I6" i="7"/>
  <c r="I11" i="7" s="1"/>
  <c r="H6" i="7"/>
  <c r="G6" i="7"/>
  <c r="F6" i="7"/>
  <c r="F11" i="7" s="1"/>
  <c r="E6" i="7"/>
  <c r="D6" i="7"/>
  <c r="C6" i="7"/>
  <c r="B6" i="7"/>
  <c r="M3" i="7"/>
  <c r="N3" i="7" s="1"/>
  <c r="L3" i="7"/>
  <c r="K3" i="7"/>
  <c r="J3" i="7"/>
  <c r="I3" i="7"/>
  <c r="H3" i="7"/>
  <c r="G3" i="7"/>
  <c r="F3" i="7"/>
  <c r="E3" i="7"/>
  <c r="D3" i="7"/>
  <c r="C3" i="7"/>
  <c r="B2" i="7"/>
  <c r="K33" i="6"/>
  <c r="J33" i="6"/>
  <c r="I33" i="6"/>
  <c r="H33" i="6"/>
  <c r="G33" i="6"/>
  <c r="F33" i="6"/>
  <c r="E33" i="6"/>
  <c r="D33" i="6"/>
  <c r="C33" i="6"/>
  <c r="B33" i="6"/>
  <c r="K32" i="6"/>
  <c r="J32" i="6"/>
  <c r="I32" i="6"/>
  <c r="H32" i="6"/>
  <c r="G32" i="6"/>
  <c r="F32" i="6"/>
  <c r="E32" i="6"/>
  <c r="D32" i="6"/>
  <c r="C32" i="6"/>
  <c r="B32" i="6"/>
  <c r="B6" i="6"/>
  <c r="E1" i="6"/>
  <c r="K7" i="4"/>
  <c r="J7" i="4"/>
  <c r="I7" i="4"/>
  <c r="H7" i="4"/>
  <c r="G7" i="4"/>
  <c r="F7" i="4"/>
  <c r="E7" i="4"/>
  <c r="D7" i="4"/>
  <c r="C7" i="4"/>
  <c r="B7" i="4"/>
  <c r="K6" i="4"/>
  <c r="J6" i="4"/>
  <c r="I6" i="4"/>
  <c r="H6" i="4"/>
  <c r="G6" i="4"/>
  <c r="F6" i="4"/>
  <c r="E6" i="4"/>
  <c r="D6" i="4"/>
  <c r="C6" i="4"/>
  <c r="B6" i="4"/>
  <c r="K5" i="4"/>
  <c r="J5" i="4"/>
  <c r="I5" i="4"/>
  <c r="H5" i="4"/>
  <c r="G5" i="4"/>
  <c r="F5" i="4"/>
  <c r="E5" i="4"/>
  <c r="D5" i="4"/>
  <c r="C5" i="4"/>
  <c r="B5" i="4"/>
  <c r="K4" i="4"/>
  <c r="J4" i="4"/>
  <c r="I4" i="4"/>
  <c r="H4" i="4"/>
  <c r="G4" i="4"/>
  <c r="F4" i="4"/>
  <c r="E4" i="4"/>
  <c r="D4" i="4"/>
  <c r="C4" i="4"/>
  <c r="B4" i="4"/>
  <c r="K3" i="4"/>
  <c r="J3" i="4"/>
  <c r="I3" i="4"/>
  <c r="H3" i="4"/>
  <c r="G3" i="4"/>
  <c r="F3" i="4"/>
  <c r="E3" i="4"/>
  <c r="D3" i="4"/>
  <c r="C3" i="4"/>
  <c r="B3" i="4"/>
  <c r="E1" i="4"/>
  <c r="A1" i="4"/>
  <c r="K24" i="2"/>
  <c r="J24" i="2"/>
  <c r="I24" i="2"/>
  <c r="H24" i="2"/>
  <c r="G24" i="2"/>
  <c r="F24" i="2"/>
  <c r="E24" i="2"/>
  <c r="D24" i="2"/>
  <c r="C24" i="2"/>
  <c r="K23" i="2"/>
  <c r="J23" i="2"/>
  <c r="I23" i="2"/>
  <c r="H23" i="2"/>
  <c r="G23" i="2"/>
  <c r="F23" i="2"/>
  <c r="E23" i="2"/>
  <c r="D23" i="2"/>
  <c r="C23" i="2"/>
  <c r="B23" i="2"/>
  <c r="K21" i="2"/>
  <c r="J21" i="2"/>
  <c r="I21" i="2"/>
  <c r="H21" i="2"/>
  <c r="G21" i="2"/>
  <c r="F21" i="2"/>
  <c r="E21" i="2"/>
  <c r="D21" i="2"/>
  <c r="C21" i="2"/>
  <c r="B21" i="2"/>
  <c r="K20" i="2"/>
  <c r="J20" i="2"/>
  <c r="I20" i="2"/>
  <c r="H20" i="2"/>
  <c r="G20" i="2"/>
  <c r="F20" i="2"/>
  <c r="E20" i="2"/>
  <c r="D20" i="2"/>
  <c r="C20" i="2"/>
  <c r="B20" i="2"/>
  <c r="K18" i="2"/>
  <c r="J18" i="2"/>
  <c r="I18" i="2"/>
  <c r="H18" i="2"/>
  <c r="G18" i="2"/>
  <c r="F18" i="2"/>
  <c r="E18" i="2"/>
  <c r="D18" i="2"/>
  <c r="C18" i="2"/>
  <c r="B18" i="2"/>
  <c r="K17" i="2"/>
  <c r="J17" i="2"/>
  <c r="I17" i="2"/>
  <c r="H17" i="2"/>
  <c r="G17" i="2"/>
  <c r="F17" i="2"/>
  <c r="E17" i="2"/>
  <c r="D17" i="2"/>
  <c r="C17" i="2"/>
  <c r="B17" i="2"/>
  <c r="K16" i="2"/>
  <c r="J16" i="2"/>
  <c r="I16" i="2"/>
  <c r="H16" i="2"/>
  <c r="G16" i="2"/>
  <c r="F16" i="2"/>
  <c r="E16" i="2"/>
  <c r="D16" i="2"/>
  <c r="C16" i="2"/>
  <c r="B16" i="2"/>
  <c r="K14" i="2"/>
  <c r="J14" i="2"/>
  <c r="I14" i="2"/>
  <c r="H14" i="2"/>
  <c r="G14" i="2"/>
  <c r="F14" i="2"/>
  <c r="E14" i="2"/>
  <c r="D14" i="2"/>
  <c r="C14" i="2"/>
  <c r="B14" i="2"/>
  <c r="K13" i="2"/>
  <c r="J13" i="2"/>
  <c r="I13" i="2"/>
  <c r="H13" i="2"/>
  <c r="G13" i="2"/>
  <c r="F13" i="2"/>
  <c r="E13" i="2"/>
  <c r="D13" i="2"/>
  <c r="C13" i="2"/>
  <c r="B13" i="2"/>
  <c r="K12" i="2"/>
  <c r="J12" i="2"/>
  <c r="I12" i="2"/>
  <c r="H12" i="2"/>
  <c r="G12" i="2"/>
  <c r="F12" i="2"/>
  <c r="E12" i="2"/>
  <c r="D12" i="2"/>
  <c r="C12" i="2"/>
  <c r="B12" i="2"/>
  <c r="K11" i="2"/>
  <c r="J11" i="2"/>
  <c r="I11" i="2"/>
  <c r="H11" i="2"/>
  <c r="G11" i="2"/>
  <c r="F11" i="2"/>
  <c r="E11" i="2"/>
  <c r="D11" i="2"/>
  <c r="C11" i="2"/>
  <c r="B11" i="2"/>
  <c r="K10" i="2"/>
  <c r="J10" i="2"/>
  <c r="I10" i="2"/>
  <c r="H10" i="2"/>
  <c r="G10" i="2"/>
  <c r="F10" i="2"/>
  <c r="E10" i="2"/>
  <c r="D10" i="2"/>
  <c r="C10" i="2"/>
  <c r="B10" i="2"/>
  <c r="K8" i="2"/>
  <c r="J8" i="2"/>
  <c r="I8" i="2"/>
  <c r="H8" i="2"/>
  <c r="G8" i="2"/>
  <c r="F8" i="2"/>
  <c r="E8" i="2"/>
  <c r="D8" i="2"/>
  <c r="C8" i="2"/>
  <c r="B8" i="2"/>
  <c r="K7" i="2"/>
  <c r="J7" i="2"/>
  <c r="I7" i="2"/>
  <c r="H7" i="2"/>
  <c r="G7" i="2"/>
  <c r="F7" i="2"/>
  <c r="E7" i="2"/>
  <c r="D7" i="2"/>
  <c r="C7" i="2"/>
  <c r="B7" i="2"/>
  <c r="K6" i="2"/>
  <c r="J6" i="2"/>
  <c r="I6" i="2"/>
  <c r="H6" i="2"/>
  <c r="G6" i="2"/>
  <c r="F6" i="2"/>
  <c r="E6" i="2"/>
  <c r="D6" i="2"/>
  <c r="C6" i="2"/>
  <c r="B6" i="2"/>
  <c r="K5" i="2"/>
  <c r="J5" i="2"/>
  <c r="I5" i="2"/>
  <c r="H5" i="2"/>
  <c r="G5" i="2"/>
  <c r="F5" i="2"/>
  <c r="E5" i="2"/>
  <c r="D5" i="2"/>
  <c r="C5" i="2"/>
  <c r="B5" i="2"/>
  <c r="K4" i="2"/>
  <c r="J4" i="2"/>
  <c r="I4" i="2"/>
  <c r="H4" i="2"/>
  <c r="G4" i="2"/>
  <c r="F4" i="2"/>
  <c r="E4" i="2"/>
  <c r="D4" i="2"/>
  <c r="C4" i="2"/>
  <c r="B4" i="2"/>
  <c r="K3" i="2"/>
  <c r="J3" i="2"/>
  <c r="I3" i="2"/>
  <c r="H3" i="2"/>
  <c r="G3" i="2"/>
  <c r="F3" i="2"/>
  <c r="E3" i="2"/>
  <c r="D3" i="2"/>
  <c r="C3" i="2"/>
  <c r="B3" i="2"/>
  <c r="E1" i="2"/>
  <c r="A1" i="2"/>
  <c r="K14" i="3"/>
  <c r="J14" i="3"/>
  <c r="I14" i="3"/>
  <c r="H14" i="3"/>
  <c r="G14" i="3"/>
  <c r="F14" i="3"/>
  <c r="E14" i="3"/>
  <c r="D14" i="3"/>
  <c r="C14" i="3"/>
  <c r="B14" i="3"/>
  <c r="K12" i="3"/>
  <c r="J12" i="3"/>
  <c r="I12" i="3"/>
  <c r="H12" i="3"/>
  <c r="G12" i="3"/>
  <c r="F12" i="3"/>
  <c r="E12" i="3"/>
  <c r="D12" i="3"/>
  <c r="C12" i="3"/>
  <c r="B12" i="3"/>
  <c r="K11" i="3"/>
  <c r="J11" i="3"/>
  <c r="I11" i="3"/>
  <c r="H11" i="3"/>
  <c r="G11" i="3"/>
  <c r="F11" i="3"/>
  <c r="E11" i="3"/>
  <c r="D11" i="3"/>
  <c r="C11" i="3"/>
  <c r="B11" i="3"/>
  <c r="K10" i="3"/>
  <c r="J10" i="3"/>
  <c r="I10" i="3"/>
  <c r="H10" i="3"/>
  <c r="G10" i="3"/>
  <c r="F10" i="3"/>
  <c r="E10" i="3"/>
  <c r="D10" i="3"/>
  <c r="C10" i="3"/>
  <c r="B10" i="3"/>
  <c r="K9" i="3"/>
  <c r="J9" i="3"/>
  <c r="I9" i="3"/>
  <c r="H9" i="3"/>
  <c r="G9" i="3"/>
  <c r="F9" i="3"/>
  <c r="E9" i="3"/>
  <c r="D9" i="3"/>
  <c r="C9" i="3"/>
  <c r="B9" i="3"/>
  <c r="K8" i="3"/>
  <c r="J8" i="3"/>
  <c r="I8" i="3"/>
  <c r="H8" i="3"/>
  <c r="G8" i="3"/>
  <c r="F8" i="3"/>
  <c r="E8" i="3"/>
  <c r="D8" i="3"/>
  <c r="C8" i="3"/>
  <c r="B8" i="3"/>
  <c r="K7" i="3"/>
  <c r="J7" i="3"/>
  <c r="I7" i="3"/>
  <c r="H7" i="3"/>
  <c r="G7" i="3"/>
  <c r="F7" i="3"/>
  <c r="E7" i="3"/>
  <c r="D7" i="3"/>
  <c r="C7" i="3"/>
  <c r="B7" i="3"/>
  <c r="K6" i="3"/>
  <c r="J6" i="3"/>
  <c r="I6" i="3"/>
  <c r="H6" i="3"/>
  <c r="G6" i="3"/>
  <c r="F6" i="3"/>
  <c r="E6" i="3"/>
  <c r="D6" i="3"/>
  <c r="C6" i="3"/>
  <c r="B6" i="3"/>
  <c r="K5" i="3"/>
  <c r="J5" i="3"/>
  <c r="I5" i="3"/>
  <c r="H5" i="3"/>
  <c r="G5" i="3"/>
  <c r="F5" i="3"/>
  <c r="E5" i="3"/>
  <c r="D5" i="3"/>
  <c r="C5" i="3"/>
  <c r="B5" i="3"/>
  <c r="K4" i="3"/>
  <c r="J4" i="3"/>
  <c r="I4" i="3"/>
  <c r="H4" i="3"/>
  <c r="G4" i="3"/>
  <c r="F4" i="3"/>
  <c r="E4" i="3"/>
  <c r="D4" i="3"/>
  <c r="C4" i="3"/>
  <c r="B4" i="3"/>
  <c r="K3" i="3"/>
  <c r="J3" i="3"/>
  <c r="I3" i="3"/>
  <c r="H3" i="3"/>
  <c r="G3" i="3"/>
  <c r="F3" i="3"/>
  <c r="E3" i="3"/>
  <c r="D3" i="3"/>
  <c r="C3" i="3"/>
  <c r="B3" i="3"/>
  <c r="E1" i="3"/>
  <c r="A1" i="3"/>
  <c r="N25" i="1"/>
  <c r="M25" i="1"/>
  <c r="L25" i="1"/>
  <c r="K25" i="1"/>
  <c r="J25" i="1"/>
  <c r="I25" i="1"/>
  <c r="H25" i="1"/>
  <c r="N24" i="1"/>
  <c r="M24" i="1"/>
  <c r="L24" i="1"/>
  <c r="K24" i="1"/>
  <c r="J24" i="1"/>
  <c r="I24" i="1"/>
  <c r="H24" i="1"/>
  <c r="N23" i="1"/>
  <c r="M23" i="1"/>
  <c r="L23" i="1"/>
  <c r="K23" i="1"/>
  <c r="J23" i="1"/>
  <c r="I23" i="1"/>
  <c r="H23" i="1"/>
  <c r="L19" i="1"/>
  <c r="K19" i="1"/>
  <c r="J19" i="1"/>
  <c r="I19" i="1"/>
  <c r="H19" i="1"/>
  <c r="G19" i="1"/>
  <c r="F19" i="1"/>
  <c r="E19" i="1"/>
  <c r="D19" i="1"/>
  <c r="C19" i="1"/>
  <c r="B19" i="1"/>
  <c r="K18" i="1"/>
  <c r="J18" i="1"/>
  <c r="I18" i="1"/>
  <c r="H18" i="1"/>
  <c r="G18" i="1"/>
  <c r="F18" i="1"/>
  <c r="E18" i="1"/>
  <c r="D18" i="1"/>
  <c r="C18" i="1"/>
  <c r="B18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N9" i="1"/>
  <c r="M9" i="1"/>
  <c r="L9" i="1"/>
  <c r="K9" i="1"/>
  <c r="J9" i="1"/>
  <c r="I9" i="1"/>
  <c r="H9" i="1"/>
  <c r="G9" i="1"/>
  <c r="F9" i="1"/>
  <c r="E9" i="1"/>
  <c r="D9" i="1"/>
  <c r="C9" i="1"/>
  <c r="B9" i="1"/>
  <c r="N8" i="1"/>
  <c r="M8" i="1"/>
  <c r="L8" i="1"/>
  <c r="K8" i="1"/>
  <c r="J8" i="1"/>
  <c r="I8" i="1"/>
  <c r="H8" i="1"/>
  <c r="G8" i="1"/>
  <c r="F8" i="1"/>
  <c r="E8" i="1"/>
  <c r="D8" i="1"/>
  <c r="C8" i="1"/>
  <c r="B8" i="1"/>
  <c r="L7" i="1"/>
  <c r="K7" i="1"/>
  <c r="J7" i="1"/>
  <c r="I7" i="1"/>
  <c r="H7" i="1"/>
  <c r="G7" i="1"/>
  <c r="F7" i="1"/>
  <c r="E7" i="1"/>
  <c r="D7" i="1"/>
  <c r="C7" i="1"/>
  <c r="B7" i="1"/>
  <c r="N6" i="1"/>
  <c r="M6" i="1"/>
  <c r="L6" i="1"/>
  <c r="K6" i="1"/>
  <c r="J6" i="1"/>
  <c r="I6" i="1"/>
  <c r="H6" i="1"/>
  <c r="G6" i="1"/>
  <c r="F6" i="1"/>
  <c r="E6" i="1"/>
  <c r="D6" i="1"/>
  <c r="C6" i="1"/>
  <c r="B6" i="1"/>
  <c r="N5" i="1"/>
  <c r="M5" i="1"/>
  <c r="L5" i="1"/>
  <c r="K5" i="1"/>
  <c r="J5" i="1"/>
  <c r="I5" i="1"/>
  <c r="H5" i="1"/>
  <c r="G5" i="1"/>
  <c r="F5" i="1"/>
  <c r="E5" i="1"/>
  <c r="D5" i="1"/>
  <c r="C5" i="1"/>
  <c r="B5" i="1"/>
  <c r="N4" i="1"/>
  <c r="M4" i="1"/>
  <c r="L4" i="1"/>
  <c r="K4" i="1"/>
  <c r="J4" i="1"/>
  <c r="I4" i="1"/>
  <c r="H4" i="1"/>
  <c r="G4" i="1"/>
  <c r="F4" i="1"/>
  <c r="E4" i="1"/>
  <c r="D4" i="1"/>
  <c r="C4" i="1"/>
  <c r="B4" i="1"/>
  <c r="K3" i="1"/>
  <c r="J3" i="1"/>
  <c r="I3" i="1"/>
  <c r="H3" i="1"/>
  <c r="G3" i="1"/>
  <c r="F3" i="1"/>
  <c r="E3" i="1"/>
  <c r="D3" i="1"/>
  <c r="C3" i="1"/>
  <c r="B3" i="1"/>
  <c r="H1" i="1"/>
  <c r="A1" i="1"/>
  <c r="B2" i="14"/>
  <c r="E7" i="7" l="1"/>
  <c r="H19" i="8"/>
  <c r="H36" i="8" s="1"/>
  <c r="I47" i="7"/>
  <c r="I16" i="7"/>
  <c r="I17" i="7" s="1"/>
  <c r="I6" i="8" s="1"/>
  <c r="G19" i="8"/>
  <c r="G36" i="8" s="1"/>
  <c r="K11" i="7"/>
  <c r="K12" i="7" s="1"/>
  <c r="K5" i="8" s="1"/>
  <c r="F51" i="7"/>
  <c r="F25" i="8" s="1"/>
  <c r="D7" i="7"/>
  <c r="L7" i="7"/>
  <c r="M9" i="10"/>
  <c r="F7" i="7"/>
  <c r="I19" i="8"/>
  <c r="I36" i="8" s="1"/>
  <c r="H27" i="8"/>
  <c r="J7" i="7"/>
  <c r="G41" i="7"/>
  <c r="G27" i="13" s="1"/>
  <c r="D41" i="7"/>
  <c r="D25" i="13" s="1"/>
  <c r="L41" i="7"/>
  <c r="L31" i="13" s="1"/>
  <c r="J32" i="8"/>
  <c r="D19" i="8"/>
  <c r="D36" i="8" s="1"/>
  <c r="M9" i="7"/>
  <c r="N9" i="7" s="1"/>
  <c r="I21" i="7"/>
  <c r="M14" i="7"/>
  <c r="N14" i="7" s="1"/>
  <c r="G20" i="8"/>
  <c r="G37" i="8" s="1"/>
  <c r="G30" i="8"/>
  <c r="G31" i="8" s="1"/>
  <c r="G22" i="8"/>
  <c r="G21" i="8"/>
  <c r="G38" i="8" s="1"/>
  <c r="G7" i="7"/>
  <c r="G11" i="7"/>
  <c r="O3" i="7"/>
  <c r="F12" i="7"/>
  <c r="F5" i="8" s="1"/>
  <c r="F16" i="7"/>
  <c r="M49" i="7"/>
  <c r="N49" i="7" s="1"/>
  <c r="M29" i="7"/>
  <c r="N29" i="7" s="1"/>
  <c r="H41" i="7"/>
  <c r="H25" i="13" s="1"/>
  <c r="H32" i="8"/>
  <c r="L9" i="10"/>
  <c r="H21" i="8"/>
  <c r="H38" i="8" s="1"/>
  <c r="H20" i="8"/>
  <c r="H37" i="8" s="1"/>
  <c r="H30" i="8"/>
  <c r="H31" i="8" s="1"/>
  <c r="H22" i="8"/>
  <c r="I12" i="7"/>
  <c r="I5" i="8" s="1"/>
  <c r="I41" i="7"/>
  <c r="I25" i="13" s="1"/>
  <c r="I32" i="8"/>
  <c r="M36" i="7"/>
  <c r="N36" i="7" s="1"/>
  <c r="E27" i="8"/>
  <c r="M50" i="7"/>
  <c r="I21" i="8"/>
  <c r="I38" i="8" s="1"/>
  <c r="I20" i="8"/>
  <c r="I37" i="8" s="1"/>
  <c r="I30" i="8"/>
  <c r="I31" i="8" s="1"/>
  <c r="I22" i="8"/>
  <c r="H11" i="7"/>
  <c r="M39" i="7"/>
  <c r="N39" i="7" s="1"/>
  <c r="M45" i="7"/>
  <c r="N45" i="7" s="1"/>
  <c r="C51" i="7"/>
  <c r="F9" i="10"/>
  <c r="K51" i="7"/>
  <c r="N9" i="10"/>
  <c r="J20" i="8"/>
  <c r="J37" i="8" s="1"/>
  <c r="J30" i="8"/>
  <c r="J31" i="8" s="1"/>
  <c r="J22" i="8"/>
  <c r="J21" i="8"/>
  <c r="J38" i="8" s="1"/>
  <c r="C32" i="8"/>
  <c r="C41" i="7"/>
  <c r="C28" i="13" s="1"/>
  <c r="G27" i="8"/>
  <c r="C30" i="8"/>
  <c r="C22" i="8"/>
  <c r="C20" i="8"/>
  <c r="C37" i="8" s="1"/>
  <c r="C21" i="8"/>
  <c r="C38" i="8" s="1"/>
  <c r="D22" i="8"/>
  <c r="D21" i="8"/>
  <c r="D38" i="8" s="1"/>
  <c r="D20" i="8"/>
  <c r="D37" i="8" s="1"/>
  <c r="D30" i="8"/>
  <c r="R6" i="7"/>
  <c r="L20" i="8"/>
  <c r="L37" i="8" s="1"/>
  <c r="L30" i="8"/>
  <c r="L31" i="8" s="1"/>
  <c r="I5" i="11"/>
  <c r="L22" i="8"/>
  <c r="L21" i="8"/>
  <c r="L38" i="8" s="1"/>
  <c r="C11" i="7"/>
  <c r="M19" i="7"/>
  <c r="N19" i="7" s="1"/>
  <c r="E32" i="8"/>
  <c r="M46" i="7"/>
  <c r="N46" i="7" s="1"/>
  <c r="I51" i="7"/>
  <c r="D13" i="8"/>
  <c r="D26" i="8"/>
  <c r="D25" i="8"/>
  <c r="K30" i="8"/>
  <c r="K31" i="8" s="1"/>
  <c r="K22" i="8"/>
  <c r="K20" i="8"/>
  <c r="K37" i="8" s="1"/>
  <c r="K21" i="8"/>
  <c r="K38" i="8" s="1"/>
  <c r="J11" i="7"/>
  <c r="D32" i="8"/>
  <c r="E13" i="8"/>
  <c r="M37" i="7"/>
  <c r="N37" i="7" s="1"/>
  <c r="E41" i="7"/>
  <c r="E28" i="13" s="1"/>
  <c r="F47" i="7"/>
  <c r="E51" i="7"/>
  <c r="G51" i="7"/>
  <c r="E21" i="8"/>
  <c r="E38" i="8" s="1"/>
  <c r="E22" i="8"/>
  <c r="E20" i="8"/>
  <c r="E37" i="8" s="1"/>
  <c r="E30" i="8"/>
  <c r="M6" i="7"/>
  <c r="N6" i="7" s="1"/>
  <c r="H7" i="7"/>
  <c r="D11" i="7"/>
  <c r="L11" i="7"/>
  <c r="G13" i="8"/>
  <c r="K32" i="8"/>
  <c r="K41" i="7"/>
  <c r="K26" i="13" s="1"/>
  <c r="L13" i="8"/>
  <c r="F5" i="11"/>
  <c r="M88" i="7"/>
  <c r="N88" i="7" s="1"/>
  <c r="M78" i="7"/>
  <c r="N78" i="7" s="1"/>
  <c r="M48" i="7"/>
  <c r="M44" i="7"/>
  <c r="N44" i="7" s="1"/>
  <c r="M35" i="7"/>
  <c r="N35" i="7" s="1"/>
  <c r="M93" i="7"/>
  <c r="N93" i="7" s="1"/>
  <c r="M75" i="7"/>
  <c r="N75" i="7" s="1"/>
  <c r="M90" i="7"/>
  <c r="N90" i="7" s="1"/>
  <c r="M80" i="7"/>
  <c r="N80" i="7" s="1"/>
  <c r="M68" i="7"/>
  <c r="N68" i="7" s="1"/>
  <c r="M66" i="7"/>
  <c r="N66" i="7" s="1"/>
  <c r="M64" i="7"/>
  <c r="N64" i="7" s="1"/>
  <c r="M62" i="7"/>
  <c r="N62" i="7" s="1"/>
  <c r="M60" i="7"/>
  <c r="N60" i="7" s="1"/>
  <c r="M55" i="7"/>
  <c r="N55" i="7" s="1"/>
  <c r="M87" i="7"/>
  <c r="N87" i="7" s="1"/>
  <c r="M77" i="7"/>
  <c r="N77" i="7" s="1"/>
  <c r="M70" i="7"/>
  <c r="N70" i="7" s="1"/>
  <c r="M92" i="7"/>
  <c r="N92" i="7" s="1"/>
  <c r="M82" i="7"/>
  <c r="N82" i="7" s="1"/>
  <c r="M74" i="7"/>
  <c r="N74" i="7" s="1"/>
  <c r="M89" i="7"/>
  <c r="N89" i="7" s="1"/>
  <c r="M79" i="7"/>
  <c r="N79" i="7" s="1"/>
  <c r="M86" i="7"/>
  <c r="N86" i="7" s="1"/>
  <c r="M76" i="7"/>
  <c r="N76" i="7" s="1"/>
  <c r="M69" i="7"/>
  <c r="N69" i="7" s="1"/>
  <c r="M67" i="7"/>
  <c r="N67" i="7" s="1"/>
  <c r="M65" i="7"/>
  <c r="N65" i="7" s="1"/>
  <c r="M63" i="7"/>
  <c r="N63" i="7" s="1"/>
  <c r="M61" i="7"/>
  <c r="N61" i="7" s="1"/>
  <c r="M71" i="7"/>
  <c r="N71" i="7" s="1"/>
  <c r="M43" i="7"/>
  <c r="N43" i="7" s="1"/>
  <c r="M38" i="7"/>
  <c r="N38" i="7" s="1"/>
  <c r="M91" i="7"/>
  <c r="N91" i="7" s="1"/>
  <c r="M81" i="7"/>
  <c r="N81" i="7" s="1"/>
  <c r="M83" i="7"/>
  <c r="N83" i="7" s="1"/>
  <c r="F21" i="8"/>
  <c r="F38" i="8" s="1"/>
  <c r="F20" i="8"/>
  <c r="F37" i="8" s="1"/>
  <c r="F30" i="8"/>
  <c r="F22" i="8"/>
  <c r="I7" i="7"/>
  <c r="C19" i="8"/>
  <c r="C36" i="8" s="1"/>
  <c r="K19" i="8"/>
  <c r="K36" i="8" s="1"/>
  <c r="E11" i="7"/>
  <c r="M24" i="7"/>
  <c r="N24" i="7" s="1"/>
  <c r="G32" i="8"/>
  <c r="G47" i="7"/>
  <c r="H26" i="13"/>
  <c r="J41" i="7"/>
  <c r="J27" i="13" s="1"/>
  <c r="D47" i="7"/>
  <c r="L47" i="7"/>
  <c r="L51" i="7"/>
  <c r="H13" i="8"/>
  <c r="I9" i="10"/>
  <c r="E47" i="7"/>
  <c r="J13" i="8"/>
  <c r="J9" i="10"/>
  <c r="K13" i="8"/>
  <c r="J27" i="8"/>
  <c r="K9" i="10"/>
  <c r="K27" i="8"/>
  <c r="F41" i="7"/>
  <c r="F25" i="13" s="1"/>
  <c r="H47" i="7"/>
  <c r="H51" i="7"/>
  <c r="C13" i="8"/>
  <c r="L27" i="8"/>
  <c r="C27" i="8"/>
  <c r="J47" i="7"/>
  <c r="J51" i="7"/>
  <c r="F13" i="8"/>
  <c r="D27" i="8"/>
  <c r="I13" i="8"/>
  <c r="C47" i="7"/>
  <c r="K47" i="7"/>
  <c r="H9" i="10"/>
  <c r="I27" i="8"/>
  <c r="F27" i="8"/>
  <c r="F32" i="8"/>
  <c r="G9" i="10"/>
  <c r="D40" i="8" l="1"/>
  <c r="G29" i="13"/>
  <c r="F26" i="8"/>
  <c r="C26" i="13"/>
  <c r="G31" i="13"/>
  <c r="J28" i="13"/>
  <c r="F26" i="13"/>
  <c r="J25" i="13"/>
  <c r="F40" i="8"/>
  <c r="L27" i="13"/>
  <c r="I28" i="13"/>
  <c r="H27" i="13"/>
  <c r="M51" i="7"/>
  <c r="L29" i="13"/>
  <c r="I27" i="13"/>
  <c r="L25" i="13"/>
  <c r="L26" i="13"/>
  <c r="L28" i="13"/>
  <c r="G28" i="13"/>
  <c r="K16" i="7"/>
  <c r="C40" i="8"/>
  <c r="K40" i="8"/>
  <c r="K28" i="13"/>
  <c r="K27" i="13"/>
  <c r="D28" i="13"/>
  <c r="G25" i="13"/>
  <c r="D27" i="13"/>
  <c r="K25" i="13"/>
  <c r="E26" i="13"/>
  <c r="G26" i="13"/>
  <c r="E27" i="13"/>
  <c r="E25" i="13"/>
  <c r="D31" i="13"/>
  <c r="H40" i="8"/>
  <c r="D29" i="13"/>
  <c r="D26" i="13"/>
  <c r="N13" i="8"/>
  <c r="N22" i="8"/>
  <c r="N21" i="8"/>
  <c r="N38" i="8" s="1"/>
  <c r="N7" i="7"/>
  <c r="N11" i="7"/>
  <c r="M21" i="8"/>
  <c r="M38" i="8" s="1"/>
  <c r="M22" i="8"/>
  <c r="M20" i="8"/>
  <c r="M37" i="8" s="1"/>
  <c r="M11" i="7"/>
  <c r="M7" i="7"/>
  <c r="C31" i="13"/>
  <c r="C29" i="13"/>
  <c r="N41" i="7"/>
  <c r="J53" i="7"/>
  <c r="J41" i="13" s="1"/>
  <c r="G53" i="7"/>
  <c r="O20" i="11"/>
  <c r="N20" i="11"/>
  <c r="Q20" i="11"/>
  <c r="P20" i="11"/>
  <c r="G5" i="11"/>
  <c r="E31" i="8"/>
  <c r="E25" i="8"/>
  <c r="E26" i="8"/>
  <c r="I25" i="8"/>
  <c r="I26" i="8"/>
  <c r="M32" i="8"/>
  <c r="K26" i="8"/>
  <c r="K25" i="8"/>
  <c r="M27" i="8"/>
  <c r="O93" i="7"/>
  <c r="O75" i="7"/>
  <c r="O68" i="7"/>
  <c r="O66" i="7"/>
  <c r="O64" i="7"/>
  <c r="O62" i="7"/>
  <c r="O60" i="7"/>
  <c r="O55" i="7"/>
  <c r="O49" i="7"/>
  <c r="O45" i="7"/>
  <c r="O39" i="7"/>
  <c r="O36" i="7"/>
  <c r="O90" i="7"/>
  <c r="O80" i="7"/>
  <c r="O70" i="7"/>
  <c r="O87" i="7"/>
  <c r="O77" i="7"/>
  <c r="O92" i="7"/>
  <c r="O82" i="7"/>
  <c r="O74" i="7"/>
  <c r="O89" i="7"/>
  <c r="O79" i="7"/>
  <c r="O67" i="7"/>
  <c r="O65" i="7"/>
  <c r="O63" i="7"/>
  <c r="O61" i="7"/>
  <c r="O71" i="7"/>
  <c r="O86" i="7"/>
  <c r="O76" i="7"/>
  <c r="O69" i="7"/>
  <c r="O91" i="7"/>
  <c r="O81" i="7"/>
  <c r="O83" i="7"/>
  <c r="O44" i="7"/>
  <c r="O88" i="7"/>
  <c r="O78" i="7"/>
  <c r="O19" i="7"/>
  <c r="O46" i="7"/>
  <c r="O43" i="7"/>
  <c r="O29" i="7"/>
  <c r="O9" i="7"/>
  <c r="O37" i="7"/>
  <c r="O35" i="7"/>
  <c r="O14" i="7"/>
  <c r="P3" i="7"/>
  <c r="O38" i="7"/>
  <c r="O24" i="7"/>
  <c r="O6" i="7"/>
  <c r="G12" i="7"/>
  <c r="G5" i="8" s="1"/>
  <c r="G16" i="7"/>
  <c r="C53" i="7"/>
  <c r="M13" i="8"/>
  <c r="H26" i="8"/>
  <c r="H25" i="8"/>
  <c r="L25" i="8"/>
  <c r="L26" i="8"/>
  <c r="F31" i="8"/>
  <c r="H31" i="13"/>
  <c r="H29" i="13"/>
  <c r="C25" i="13"/>
  <c r="I53" i="7"/>
  <c r="I41" i="13" s="1"/>
  <c r="N19" i="8"/>
  <c r="N36" i="8" s="1"/>
  <c r="N48" i="7"/>
  <c r="N50" i="7"/>
  <c r="N27" i="8" s="1"/>
  <c r="K53" i="7"/>
  <c r="K41" i="13" s="1"/>
  <c r="G26" i="8"/>
  <c r="G25" i="8"/>
  <c r="N47" i="7"/>
  <c r="M47" i="7"/>
  <c r="M53" i="7" s="1"/>
  <c r="M14" i="8" s="1"/>
  <c r="I40" i="8"/>
  <c r="F29" i="13"/>
  <c r="F31" i="13"/>
  <c r="J31" i="13"/>
  <c r="J29" i="13"/>
  <c r="E12" i="7"/>
  <c r="E5" i="8" s="1"/>
  <c r="E16" i="7"/>
  <c r="M41" i="7"/>
  <c r="F53" i="7"/>
  <c r="F37" i="13" s="1"/>
  <c r="N32" i="8"/>
  <c r="O32" i="8" s="1"/>
  <c r="P32" i="8" s="1"/>
  <c r="C16" i="7"/>
  <c r="C12" i="7"/>
  <c r="C5" i="8" s="1"/>
  <c r="D31" i="8"/>
  <c r="J40" i="8"/>
  <c r="H16" i="7"/>
  <c r="H12" i="7"/>
  <c r="H5" i="8" s="1"/>
  <c r="G40" i="8"/>
  <c r="I15" i="8"/>
  <c r="L5" i="10"/>
  <c r="I22" i="7"/>
  <c r="I7" i="8" s="1"/>
  <c r="I26" i="7"/>
  <c r="D12" i="7"/>
  <c r="D5" i="8" s="1"/>
  <c r="D16" i="7"/>
  <c r="I31" i="13"/>
  <c r="I29" i="13"/>
  <c r="E53" i="7"/>
  <c r="E41" i="13" s="1"/>
  <c r="J25" i="8"/>
  <c r="J26" i="8"/>
  <c r="J26" i="13"/>
  <c r="M30" i="8"/>
  <c r="C31" i="8"/>
  <c r="C26" i="8"/>
  <c r="C25" i="8"/>
  <c r="F28" i="13"/>
  <c r="M19" i="8"/>
  <c r="M36" i="8" s="1"/>
  <c r="H28" i="13"/>
  <c r="C27" i="13"/>
  <c r="L53" i="7"/>
  <c r="L41" i="13" s="1"/>
  <c r="H53" i="7"/>
  <c r="H41" i="13" s="1"/>
  <c r="F27" i="13"/>
  <c r="I26" i="13"/>
  <c r="D53" i="7"/>
  <c r="D37" i="13" s="1"/>
  <c r="M25" i="8"/>
  <c r="M26" i="8"/>
  <c r="K31" i="13"/>
  <c r="K29" i="13"/>
  <c r="L12" i="7"/>
  <c r="L5" i="8" s="1"/>
  <c r="L16" i="7"/>
  <c r="E40" i="8"/>
  <c r="E29" i="13"/>
  <c r="E31" i="13"/>
  <c r="J16" i="7"/>
  <c r="J12" i="7"/>
  <c r="J5" i="8" s="1"/>
  <c r="L40" i="8"/>
  <c r="F21" i="7"/>
  <c r="F17" i="7"/>
  <c r="F6" i="8" s="1"/>
  <c r="K17" i="7"/>
  <c r="K6" i="8" s="1"/>
  <c r="K21" i="7"/>
  <c r="K37" i="13" l="1"/>
  <c r="E37" i="13"/>
  <c r="O47" i="7"/>
  <c r="N30" i="8"/>
  <c r="O30" i="8" s="1"/>
  <c r="P30" i="8" s="1"/>
  <c r="D17" i="7"/>
  <c r="D6" i="8" s="1"/>
  <c r="D21" i="7"/>
  <c r="H21" i="7"/>
  <c r="H17" i="7"/>
  <c r="H6" i="8" s="1"/>
  <c r="H43" i="13"/>
  <c r="H14" i="8"/>
  <c r="H40" i="13"/>
  <c r="H33" i="13"/>
  <c r="H36" i="13"/>
  <c r="H35" i="13"/>
  <c r="H39" i="13"/>
  <c r="H38" i="13"/>
  <c r="H34" i="13"/>
  <c r="H18" i="8"/>
  <c r="C43" i="13"/>
  <c r="C35" i="13"/>
  <c r="C38" i="13"/>
  <c r="C34" i="13"/>
  <c r="C36" i="13"/>
  <c r="C33" i="13"/>
  <c r="C14" i="8"/>
  <c r="C18" i="8"/>
  <c r="C39" i="13"/>
  <c r="C40" i="13"/>
  <c r="G43" i="13"/>
  <c r="G18" i="8"/>
  <c r="G40" i="13"/>
  <c r="G14" i="8"/>
  <c r="G39" i="13"/>
  <c r="G33" i="13"/>
  <c r="G34" i="13"/>
  <c r="G36" i="13"/>
  <c r="G38" i="13"/>
  <c r="G35" i="13"/>
  <c r="M12" i="7"/>
  <c r="M5" i="8" s="1"/>
  <c r="M16" i="7"/>
  <c r="H37" i="13"/>
  <c r="E43" i="13"/>
  <c r="E38" i="13"/>
  <c r="E34" i="13"/>
  <c r="E40" i="13"/>
  <c r="E36" i="13"/>
  <c r="E18" i="8"/>
  <c r="E14" i="8"/>
  <c r="E39" i="13"/>
  <c r="E33" i="13"/>
  <c r="E35" i="13"/>
  <c r="I43" i="13"/>
  <c r="I35" i="13"/>
  <c r="I33" i="13"/>
  <c r="I18" i="8"/>
  <c r="I14" i="8"/>
  <c r="I37" i="13"/>
  <c r="I40" i="13"/>
  <c r="I39" i="13"/>
  <c r="I34" i="13"/>
  <c r="I38" i="13"/>
  <c r="I36" i="13"/>
  <c r="C37" i="13"/>
  <c r="G37" i="13"/>
  <c r="N51" i="7"/>
  <c r="G21" i="7"/>
  <c r="G17" i="7"/>
  <c r="G6" i="8" s="1"/>
  <c r="O41" i="7"/>
  <c r="J43" i="13"/>
  <c r="J38" i="13"/>
  <c r="J18" i="8"/>
  <c r="J36" i="13"/>
  <c r="J14" i="8"/>
  <c r="J35" i="13"/>
  <c r="J40" i="13"/>
  <c r="J39" i="13"/>
  <c r="J34" i="13"/>
  <c r="J33" i="13"/>
  <c r="M18" i="8"/>
  <c r="J5" i="11"/>
  <c r="O5" i="11" s="1"/>
  <c r="L17" i="7"/>
  <c r="L6" i="8" s="1"/>
  <c r="L21" i="7"/>
  <c r="I27" i="7"/>
  <c r="I31" i="7"/>
  <c r="P90" i="7"/>
  <c r="P80" i="7"/>
  <c r="P70" i="7"/>
  <c r="P87" i="7"/>
  <c r="P77" i="7"/>
  <c r="P46" i="7"/>
  <c r="P37" i="7"/>
  <c r="P92" i="7"/>
  <c r="P82" i="7"/>
  <c r="P74" i="7"/>
  <c r="P89" i="7"/>
  <c r="P79" i="7"/>
  <c r="P67" i="7"/>
  <c r="P65" i="7"/>
  <c r="P63" i="7"/>
  <c r="P61" i="7"/>
  <c r="P71" i="7"/>
  <c r="P43" i="7"/>
  <c r="P38" i="7"/>
  <c r="P86" i="7"/>
  <c r="P76" i="7"/>
  <c r="P69" i="7"/>
  <c r="P91" i="7"/>
  <c r="P81" i="7"/>
  <c r="P83" i="7"/>
  <c r="P88" i="7"/>
  <c r="P78" i="7"/>
  <c r="P93" i="7"/>
  <c r="P75" i="7"/>
  <c r="P68" i="7"/>
  <c r="P66" i="7"/>
  <c r="P64" i="7"/>
  <c r="P62" i="7"/>
  <c r="P60" i="7"/>
  <c r="P55" i="7"/>
  <c r="P49" i="7"/>
  <c r="P45" i="7"/>
  <c r="P39" i="7"/>
  <c r="P36" i="7"/>
  <c r="P44" i="7"/>
  <c r="P35" i="7"/>
  <c r="P14" i="7"/>
  <c r="P29" i="7"/>
  <c r="P9" i="7"/>
  <c r="P24" i="7"/>
  <c r="P6" i="7"/>
  <c r="P19" i="7"/>
  <c r="B4" i="14" a="1"/>
  <c r="B4" i="14" s="1"/>
  <c r="N53" i="7"/>
  <c r="O50" i="7"/>
  <c r="O27" i="8" s="1"/>
  <c r="C41" i="13"/>
  <c r="M31" i="8"/>
  <c r="N31" i="8" s="1"/>
  <c r="G41" i="13"/>
  <c r="O13" i="8"/>
  <c r="P19" i="11"/>
  <c r="P21" i="11" s="1"/>
  <c r="P23" i="11" s="1"/>
  <c r="N5" i="11"/>
  <c r="J37" i="13"/>
  <c r="N12" i="7"/>
  <c r="N5" i="8" s="1"/>
  <c r="N16" i="7"/>
  <c r="I5" i="10"/>
  <c r="F15" i="8"/>
  <c r="F26" i="7"/>
  <c r="F22" i="7"/>
  <c r="F7" i="8" s="1"/>
  <c r="E17" i="7"/>
  <c r="E6" i="8" s="1"/>
  <c r="E21" i="7"/>
  <c r="N20" i="8"/>
  <c r="N37" i="8" s="1"/>
  <c r="N40" i="8" s="1"/>
  <c r="J17" i="7"/>
  <c r="J6" i="8" s="1"/>
  <c r="J21" i="7"/>
  <c r="L43" i="13"/>
  <c r="L18" i="8"/>
  <c r="L34" i="13"/>
  <c r="L14" i="8"/>
  <c r="L36" i="13"/>
  <c r="L38" i="13"/>
  <c r="L39" i="13"/>
  <c r="L40" i="13"/>
  <c r="L33" i="13"/>
  <c r="L35" i="13"/>
  <c r="C17" i="7"/>
  <c r="C6" i="8" s="1"/>
  <c r="C21" i="7"/>
  <c r="L37" i="13"/>
  <c r="K15" i="8"/>
  <c r="N5" i="10"/>
  <c r="K22" i="7"/>
  <c r="K7" i="8" s="1"/>
  <c r="K26" i="7"/>
  <c r="D43" i="13"/>
  <c r="D18" i="8"/>
  <c r="D41" i="13"/>
  <c r="D34" i="13"/>
  <c r="D39" i="13"/>
  <c r="D38" i="13"/>
  <c r="D14" i="8"/>
  <c r="D36" i="13"/>
  <c r="D33" i="13"/>
  <c r="D40" i="13"/>
  <c r="D35" i="13"/>
  <c r="F43" i="13"/>
  <c r="F33" i="13"/>
  <c r="F41" i="13"/>
  <c r="F18" i="8"/>
  <c r="F38" i="13"/>
  <c r="F35" i="13"/>
  <c r="F36" i="13"/>
  <c r="F39" i="13"/>
  <c r="F34" i="13"/>
  <c r="F14" i="8"/>
  <c r="F40" i="13"/>
  <c r="K43" i="13"/>
  <c r="K35" i="13"/>
  <c r="K34" i="13"/>
  <c r="K18" i="8"/>
  <c r="K40" i="13"/>
  <c r="K36" i="13"/>
  <c r="K33" i="13"/>
  <c r="K39" i="13"/>
  <c r="K38" i="13"/>
  <c r="K14" i="8"/>
  <c r="O20" i="8"/>
  <c r="O37" i="8" s="1"/>
  <c r="O22" i="8"/>
  <c r="O21" i="8"/>
  <c r="O38" i="8" s="1"/>
  <c r="O7" i="7"/>
  <c r="O11" i="7"/>
  <c r="C4" i="14" a="1"/>
  <c r="O19" i="8"/>
  <c r="O36" i="8" s="1"/>
  <c r="O48" i="7"/>
  <c r="P48" i="7" s="1"/>
  <c r="M40" i="8"/>
  <c r="P19" i="8" l="1"/>
  <c r="P36" i="8" s="1"/>
  <c r="O40" i="8"/>
  <c r="P41" i="7"/>
  <c r="P47" i="7"/>
  <c r="O51" i="7"/>
  <c r="O53" i="7" s="1"/>
  <c r="O18" i="8" s="1"/>
  <c r="O12" i="7"/>
  <c r="O5" i="8" s="1"/>
  <c r="O16" i="7"/>
  <c r="N21" i="7"/>
  <c r="N17" i="7"/>
  <c r="N6" i="8" s="1"/>
  <c r="M17" i="7"/>
  <c r="M6" i="8" s="1"/>
  <c r="M21" i="7"/>
  <c r="F5" i="10"/>
  <c r="C15" i="8"/>
  <c r="C22" i="7"/>
  <c r="C7" i="8" s="1"/>
  <c r="C26" i="7"/>
  <c r="P13" i="8"/>
  <c r="O31" i="8"/>
  <c r="P31" i="8" s="1"/>
  <c r="O16" i="11"/>
  <c r="O15" i="11"/>
  <c r="O14" i="11"/>
  <c r="O12" i="11"/>
  <c r="O13" i="11"/>
  <c r="O19" i="11" s="1"/>
  <c r="O21" i="11" s="1"/>
  <c r="O23" i="11" s="1"/>
  <c r="O11" i="11"/>
  <c r="D12" i="14"/>
  <c r="D8" i="14"/>
  <c r="D11" i="14"/>
  <c r="C4" i="14"/>
  <c r="D5" i="14" s="1"/>
  <c r="D16" i="14"/>
  <c r="D10" i="14"/>
  <c r="D17" i="14"/>
  <c r="D9" i="14"/>
  <c r="D15" i="14"/>
  <c r="D7" i="14"/>
  <c r="D14" i="14"/>
  <c r="D6" i="14"/>
  <c r="D13" i="14"/>
  <c r="N16" i="11"/>
  <c r="N15" i="11"/>
  <c r="N14" i="11"/>
  <c r="N12" i="11"/>
  <c r="N13" i="11"/>
  <c r="N19" i="11" s="1"/>
  <c r="N21" i="11" s="1"/>
  <c r="N23" i="11" s="1"/>
  <c r="N11" i="11"/>
  <c r="P50" i="7"/>
  <c r="P27" i="8" s="1"/>
  <c r="K5" i="11"/>
  <c r="O5" i="10"/>
  <c r="L15" i="8"/>
  <c r="L26" i="7"/>
  <c r="L22" i="7"/>
  <c r="L7" i="8" s="1"/>
  <c r="H15" i="8"/>
  <c r="K5" i="10"/>
  <c r="H22" i="7"/>
  <c r="H7" i="8" s="1"/>
  <c r="H26" i="7"/>
  <c r="E15" i="8"/>
  <c r="H5" i="10"/>
  <c r="E26" i="7"/>
  <c r="E22" i="7"/>
  <c r="E7" i="8" s="1"/>
  <c r="P22" i="8"/>
  <c r="P21" i="8"/>
  <c r="P38" i="8" s="1"/>
  <c r="P20" i="8"/>
  <c r="P37" i="8" s="1"/>
  <c r="P7" i="7"/>
  <c r="P11" i="7"/>
  <c r="I9" i="8"/>
  <c r="I10" i="8"/>
  <c r="I32" i="7"/>
  <c r="I8" i="8" s="1"/>
  <c r="O26" i="8"/>
  <c r="O25" i="8"/>
  <c r="F31" i="7"/>
  <c r="F27" i="7"/>
  <c r="K31" i="7"/>
  <c r="K27" i="7"/>
  <c r="J5" i="10"/>
  <c r="G15" i="8"/>
  <c r="G26" i="7"/>
  <c r="G22" i="7"/>
  <c r="G7" i="8" s="1"/>
  <c r="G5" i="10"/>
  <c r="D15" i="8"/>
  <c r="D26" i="7"/>
  <c r="D22" i="7"/>
  <c r="D7" i="8" s="1"/>
  <c r="M5" i="10"/>
  <c r="J15" i="8"/>
  <c r="J22" i="7"/>
  <c r="J7" i="8" s="1"/>
  <c r="J26" i="7"/>
  <c r="N14" i="8"/>
  <c r="N18" i="8"/>
  <c r="N26" i="8"/>
  <c r="N25" i="8"/>
  <c r="P40" i="8" l="1"/>
  <c r="O14" i="8"/>
  <c r="K10" i="8"/>
  <c r="K9" i="8"/>
  <c r="K32" i="7"/>
  <c r="K8" i="8" s="1"/>
  <c r="P16" i="7"/>
  <c r="P12" i="7"/>
  <c r="P5" i="8" s="1"/>
  <c r="P51" i="7"/>
  <c r="J31" i="7"/>
  <c r="J27" i="7"/>
  <c r="G27" i="7"/>
  <c r="G31" i="7"/>
  <c r="D31" i="7"/>
  <c r="D27" i="7"/>
  <c r="F10" i="8"/>
  <c r="F9" i="8"/>
  <c r="F32" i="7"/>
  <c r="F8" i="8" s="1"/>
  <c r="H27" i="7"/>
  <c r="H31" i="7"/>
  <c r="C31" i="7"/>
  <c r="C27" i="7"/>
  <c r="N15" i="8"/>
  <c r="N26" i="7"/>
  <c r="N22" i="7"/>
  <c r="N7" i="8" s="1"/>
  <c r="O21" i="7"/>
  <c r="O17" i="7"/>
  <c r="O6" i="8" s="1"/>
  <c r="E31" i="7"/>
  <c r="E27" i="7"/>
  <c r="L31" i="7"/>
  <c r="L27" i="7"/>
  <c r="C10" i="10"/>
  <c r="M15" i="8"/>
  <c r="M26" i="7"/>
  <c r="M22" i="7"/>
  <c r="M7" i="8" s="1"/>
  <c r="H10" i="8" l="1"/>
  <c r="H32" i="7"/>
  <c r="H8" i="8" s="1"/>
  <c r="H9" i="8"/>
  <c r="M31" i="7"/>
  <c r="M27" i="7"/>
  <c r="D10" i="8"/>
  <c r="D9" i="8"/>
  <c r="D32" i="7"/>
  <c r="D8" i="8" s="1"/>
  <c r="P26" i="8"/>
  <c r="P25" i="8"/>
  <c r="P53" i="7"/>
  <c r="E9" i="8"/>
  <c r="E10" i="8"/>
  <c r="E32" i="7"/>
  <c r="E8" i="8" s="1"/>
  <c r="P21" i="7"/>
  <c r="P17" i="7"/>
  <c r="P6" i="8" s="1"/>
  <c r="O15" i="8"/>
  <c r="O26" i="7"/>
  <c r="O22" i="7"/>
  <c r="O7" i="8" s="1"/>
  <c r="O6" i="10"/>
  <c r="O10" i="10" s="1"/>
  <c r="G6" i="10"/>
  <c r="G10" i="10" s="1"/>
  <c r="K6" i="10"/>
  <c r="K10" i="10" s="1"/>
  <c r="J6" i="10"/>
  <c r="J10" i="10" s="1"/>
  <c r="C11" i="10"/>
  <c r="C17" i="10" s="1"/>
  <c r="F13" i="10" s="1"/>
  <c r="I6" i="10"/>
  <c r="I10" i="10" s="1"/>
  <c r="H6" i="10"/>
  <c r="H10" i="10" s="1"/>
  <c r="F6" i="10"/>
  <c r="F10" i="10" s="1"/>
  <c r="N6" i="10"/>
  <c r="N10" i="10" s="1"/>
  <c r="M6" i="10"/>
  <c r="M10" i="10" s="1"/>
  <c r="L6" i="10"/>
  <c r="L10" i="10" s="1"/>
  <c r="N31" i="7"/>
  <c r="N27" i="7"/>
  <c r="L5" i="11"/>
  <c r="Q5" i="11" s="1"/>
  <c r="L9" i="8"/>
  <c r="L10" i="8"/>
  <c r="L32" i="7"/>
  <c r="L8" i="8" s="1"/>
  <c r="G10" i="8"/>
  <c r="G9" i="8"/>
  <c r="G32" i="7"/>
  <c r="G8" i="8" s="1"/>
  <c r="C10" i="8"/>
  <c r="C9" i="8"/>
  <c r="C32" i="7"/>
  <c r="C8" i="8" s="1"/>
  <c r="J10" i="8"/>
  <c r="J9" i="8"/>
  <c r="J32" i="7"/>
  <c r="J8" i="8" s="1"/>
  <c r="M16" i="10" l="1"/>
  <c r="I16" i="10"/>
  <c r="I17" i="10" s="1"/>
  <c r="J16" i="10"/>
  <c r="J17" i="10" s="1"/>
  <c r="H16" i="10"/>
  <c r="H17" i="10" s="1"/>
  <c r="G16" i="10"/>
  <c r="G17" i="10" s="1"/>
  <c r="F16" i="10"/>
  <c r="F17" i="10" s="1"/>
  <c r="O16" i="10"/>
  <c r="O17" i="10" s="1"/>
  <c r="N16" i="10"/>
  <c r="N17" i="10" s="1"/>
  <c r="L16" i="10"/>
  <c r="K16" i="10"/>
  <c r="K17" i="10" s="1"/>
  <c r="M17" i="10"/>
  <c r="F14" i="10"/>
  <c r="M9" i="8"/>
  <c r="M10" i="8"/>
  <c r="M32" i="7"/>
  <c r="M8" i="8" s="1"/>
  <c r="N9" i="8"/>
  <c r="N10" i="8"/>
  <c r="N32" i="7"/>
  <c r="N8" i="8" s="1"/>
  <c r="L17" i="10"/>
  <c r="P18" i="8"/>
  <c r="P14" i="8"/>
  <c r="P15" i="8"/>
  <c r="P22" i="7"/>
  <c r="P7" i="8" s="1"/>
  <c r="P26" i="7"/>
  <c r="O31" i="7"/>
  <c r="O27" i="7"/>
  <c r="Q15" i="11"/>
  <c r="Q16" i="11"/>
  <c r="Q13" i="11"/>
  <c r="Q19" i="11" s="1"/>
  <c r="Q21" i="11" s="1"/>
  <c r="Q23" i="11" s="1"/>
  <c r="Q11" i="11"/>
  <c r="Q14" i="11"/>
  <c r="Q12" i="11"/>
  <c r="O18" i="10" l="1"/>
  <c r="F20" i="10"/>
  <c r="F21" i="10" s="1"/>
  <c r="F24" i="10" s="1"/>
  <c r="O10" i="8"/>
  <c r="O9" i="8"/>
  <c r="O32" i="7"/>
  <c r="O8" i="8" s="1"/>
  <c r="P27" i="7"/>
  <c r="P31" i="7"/>
  <c r="P32" i="7" l="1"/>
  <c r="P8" i="8" s="1"/>
  <c r="P10" i="8"/>
  <c r="P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<sst xmlns="http://schemas.openxmlformats.org/spreadsheetml/2006/main" count="356" uniqueCount="229">
  <si>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</si>
  <si>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</si>
  <si>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</si>
  <si>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</si>
  <si>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</si>
  <si>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</si>
  <si>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</si>
  <si>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</si>
  <si>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</si>
  <si>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</si>
  <si>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</si>
  <si>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</si>
  <si>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</si>
  <si>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</si>
  <si>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</si>
  <si>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</si>
  <si>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</si>
  <si>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</si>
  <si>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</si>
  <si>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</si>
  <si>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</si>
  <si>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</si>
  <si>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</si>
  <si>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</si>
  <si>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</si>
  <si>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</si>
  <si>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</si>
  <si>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</si>
  <si>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</si>
  <si>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</si>
  <si>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</si>
  <si>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</si>
  <si>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</si>
  <si>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</si>
  <si>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</si>
  <si>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</si>
  <si>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</si>
  <si>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</si>
  <si>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</si>
  <si>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</si>
  <si>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</si>
  <si>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</si>
  <si>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</si>
  <si>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</si>
  <si>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</si>
  <si>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</si>
  <si>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</si>
  <si>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</si>
  <si>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</si>
  <si>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</si>
  <si>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</si>
  <si>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</si>
  <si>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</si>
  <si>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</si>
  <si>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</si>
  <si>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</si>
  <si>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</si>
  <si>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</si>
  <si>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</si>
  <si>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</si>
  <si>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</si>
  <si>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r>
      <rPr>
        <sz val="11"/>
        <color theme="1"/>
        <rFont val="Calibri"/>
        <family val="2"/>
        <scheme val="minor"/>
      </rP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</si>
  <si>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COMPANY NAME</t>
  </si>
  <si>
    <t>HINDUSTAN UNILEVER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</si>
  <si>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</si>
  <si>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</si>
  <si>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</si>
  <si>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</si>
  <si>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</si>
  <si>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</si>
  <si>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</si>
  <si>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</si>
  <si>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</si>
  <si>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</si>
  <si>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</si>
  <si>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</si>
  <si>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</si>
  <si>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</si>
  <si>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</si>
  <si>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</si>
  <si>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</si>
  <si>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</si>
  <si>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EBITDA</t>
  </si>
  <si>
    <t>EBIT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</si>
  <si>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</si>
  <si>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</si>
  <si>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</si>
  <si>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</si>
  <si>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</si>
  <si>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</si>
  <si>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</si>
  <si>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CASH FLOW:</t>
  </si>
  <si>
    <t>Profit from Operations</t>
  </si>
  <si>
    <t>Payables</t>
  </si>
  <si>
    <t>Loans Advances</t>
  </si>
  <si>
    <t>Operating Deposits</t>
  </si>
  <si>
    <t>Other WC items</t>
  </si>
  <si>
    <t>Working Capital changes</t>
  </si>
  <si>
    <t>Direect Taxes</t>
  </si>
  <si>
    <t>Other operating items</t>
  </si>
  <si>
    <t>Exceptional CF items</t>
  </si>
  <si>
    <t>Fixed Asset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</si>
  <si>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</si>
  <si>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</si>
  <si>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</si>
  <si>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</si>
  <si>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</si>
  <si>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</si>
  <si>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</si>
  <si>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</si>
  <si>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</si>
  <si>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</si>
  <si>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</si>
  <si>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</si>
  <si>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</si>
  <si>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</si>
  <si>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</si>
  <si>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PRICE:</t>
  </si>
  <si>
    <t>DERIVED:</t>
  </si>
  <si>
    <t>Adjusted Equity Shares in Cr</t>
  </si>
  <si>
    <t>Year</t>
  </si>
  <si>
    <t>#</t>
  </si>
  <si>
    <t>Income Statement</t>
  </si>
  <si>
    <t>-</t>
  </si>
  <si>
    <t>COGS</t>
  </si>
  <si>
    <t>Gross Profit</t>
  </si>
  <si>
    <t>Gross Profit Margins</t>
  </si>
  <si>
    <t>Selling &amp; General Expenses</t>
  </si>
  <si>
    <t>EBITDA Margins</t>
  </si>
  <si>
    <t>D&amp;A</t>
  </si>
  <si>
    <t>EBIT Margins</t>
  </si>
  <si>
    <t>EBT</t>
  </si>
  <si>
    <t>EBT Margins</t>
  </si>
  <si>
    <t>Net Profit</t>
  </si>
  <si>
    <t>Net Profit Margins</t>
  </si>
  <si>
    <t>Balance Sheet</t>
  </si>
  <si>
    <t>Trade Payables</t>
  </si>
  <si>
    <t>Total Liabilities</t>
  </si>
  <si>
    <t>Total Non-Current Assets</t>
  </si>
  <si>
    <t>Total Current Assets</t>
  </si>
  <si>
    <t>Total Assets</t>
  </si>
  <si>
    <t>Shares Issued</t>
  </si>
  <si>
    <t>Cash Flow Statement</t>
  </si>
  <si>
    <t>Profitability Ratios</t>
  </si>
  <si>
    <t>Gross Profit Margin</t>
  </si>
  <si>
    <t>Return on Asset</t>
  </si>
  <si>
    <t>Solvency Ratios</t>
  </si>
  <si>
    <t>D/E Ratio</t>
  </si>
  <si>
    <t>Debt Ratio</t>
  </si>
  <si>
    <t>Interest Coverage</t>
  </si>
  <si>
    <t>Efficiency Ratios</t>
  </si>
  <si>
    <t>Asset Turnover</t>
  </si>
  <si>
    <t>Receivable Turnover</t>
  </si>
  <si>
    <t>Payable Turnover</t>
  </si>
  <si>
    <t>Fixed Asset Turnover</t>
  </si>
  <si>
    <t>Liquidity Ratios</t>
  </si>
  <si>
    <t>Current Ratio</t>
  </si>
  <si>
    <t>Quick Ratio</t>
  </si>
  <si>
    <t>Cash Ratio</t>
  </si>
  <si>
    <t>Market Ratios</t>
  </si>
  <si>
    <t>Earning per share</t>
  </si>
  <si>
    <t>P/E Ratio</t>
  </si>
  <si>
    <t>Book Value per share</t>
  </si>
  <si>
    <t>Operating Cycle Ratios</t>
  </si>
  <si>
    <t>(in days)</t>
  </si>
  <si>
    <t>Inventory Days</t>
  </si>
  <si>
    <t>Receivable Days</t>
  </si>
  <si>
    <t>Payable Days</t>
  </si>
  <si>
    <t>Cash Conversion Cycle</t>
  </si>
  <si>
    <t>Equity (E)</t>
  </si>
  <si>
    <t>Debt (D)</t>
  </si>
  <si>
    <t>Rf</t>
  </si>
  <si>
    <t>Tax Rate</t>
  </si>
  <si>
    <t>Equity Risk Premium (ERP)</t>
  </si>
  <si>
    <t>Rm</t>
  </si>
  <si>
    <t>CapEx</t>
  </si>
  <si>
    <t>Beta</t>
  </si>
  <si>
    <t>Non-Cash WC</t>
  </si>
  <si>
    <t>FCF</t>
  </si>
  <si>
    <t>Cost of Debt (Kd)</t>
  </si>
  <si>
    <t>Growth Rate</t>
  </si>
  <si>
    <t>Cost of Equity (Ke)</t>
  </si>
  <si>
    <t>WACC</t>
  </si>
  <si>
    <t>ew</t>
  </si>
  <si>
    <t>Terminal Value</t>
  </si>
  <si>
    <t>dw</t>
  </si>
  <si>
    <t>Discount Factor</t>
  </si>
  <si>
    <t>PV of FCF</t>
  </si>
  <si>
    <t>PV of TV</t>
  </si>
  <si>
    <t>Enterprise Value</t>
  </si>
  <si>
    <t>Equity Value</t>
  </si>
  <si>
    <t>No. Shares</t>
  </si>
  <si>
    <t>Share Price</t>
  </si>
  <si>
    <t>Market Data</t>
  </si>
  <si>
    <t>Financials</t>
  </si>
  <si>
    <t>Valuation</t>
  </si>
  <si>
    <t>Name</t>
  </si>
  <si>
    <t>Share Outstanding</t>
  </si>
  <si>
    <t>Market Cap</t>
  </si>
  <si>
    <t>Net Debt</t>
  </si>
  <si>
    <t>Revenue</t>
  </si>
  <si>
    <t>Net Income</t>
  </si>
  <si>
    <t>EV/Revenue</t>
  </si>
  <si>
    <t>Ev/EBITDA</t>
  </si>
  <si>
    <t>P/E (Calculated)</t>
  </si>
  <si>
    <t>P/E (Actual)</t>
  </si>
  <si>
    <t>HUL</t>
  </si>
  <si>
    <t>ITC</t>
  </si>
  <si>
    <t>Hindustan Foofs</t>
  </si>
  <si>
    <t>Godavri Bioref.</t>
  </si>
  <si>
    <t>High</t>
  </si>
  <si>
    <t>Third Quratile</t>
  </si>
  <si>
    <t>Median</t>
  </si>
  <si>
    <t>Average</t>
  </si>
  <si>
    <t>First Quartile</t>
  </si>
  <si>
    <t>Low</t>
  </si>
  <si>
    <t>Implied Enterprise Value</t>
  </si>
  <si>
    <t>Implied Market Value</t>
  </si>
  <si>
    <t>Shares Outstanding</t>
  </si>
  <si>
    <t>Implied Value per Share</t>
  </si>
  <si>
    <t>YoY Growth</t>
  </si>
  <si>
    <t>Why did  the revenue growth fall from 2023 to 2024?</t>
  </si>
  <si>
    <t>Ans. Pricing Impact</t>
  </si>
  <si>
    <t>FY 2022-23 FMCG sales were supported more by price hikes, while FY 2023-24 had lower pricing tailwind and only modest volume growth.</t>
  </si>
  <si>
    <t> FY24 was a low-growth year for HUL because rural recovery was weak, inflation-fatigued consumers were slow to resume spending, and lower pricing power exposed the underlying softness in volumes.</t>
  </si>
  <si>
    <t>CAGR</t>
  </si>
  <si>
    <t>Cash Flow from Operating Activities</t>
  </si>
  <si>
    <t>Cash Flow from investing Activities</t>
  </si>
  <si>
    <t>Cash Flow from 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</si>
</sst>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 * #,##0.00_ ;_ * \-#,##0.00_ ;_ * &quot;-&quot;??_ ;_ @_ "/>
    <numFmt numFmtId="166" formatCode="mmm\-yy\ &quot;A&quot;"/>
    <numFmt numFmtId="167" formatCode="#,##0.0_);\(#,##0.0\)"/>
    <numFmt numFmtId="168" formatCode="mmm\-yy\ &quot;E&quot;"/>
    <numFmt numFmtId="169" formatCode="0.0\ &quot;x&quot;"/>
    <numFmt numFmtId="170" formatCode="[$₹-445]\ #,##0;[$₹-445]\ \-#,##0"/>
    <numFmt numFmtId="171" formatCode="0.0%"/>
    <numFmt numFmtId="172" formatCode="0.000"/>
    <numFmt numFmtId="173" formatCode="_(* #,##0_);_(* \(#,##0\);_(* &quot;-&quot;??_);_(@_)"/>
    <numFmt numFmtId="174" formatCode="[$-409]mmm\-yy;@"/>
    <numFmt numFmtId="175" formatCode="#,##0.0;\(#,##0.0\)\,0"/>
    <numFmt numFmtId="176" formatCode="#,##0;\(#,##0.\)\,0"/>
    <numFmt numFmtId="177" formatCode="#,##0.0;\(#,##0.0\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7" tint="0.39994506668294322"/>
      <name val="Calibri"/>
      <family val="2"/>
      <scheme val="minor"/>
    </font>
    <font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275D8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7" borderId="0" applyNumberFormat="0" applyBorder="0" applyAlignment="0" applyProtection="0"/>
  </cellStyleXfs>
  <cellXfs count="111">
    <xf numFmtId="0" fontId="0" fillId="0" borderId="0" xfId="0"/>
    <xf numFmtId="0" fontId="2" fillId="2" borderId="0" xfId="0" applyFont="1" applyFill="1"/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right"/>
    </xf>
    <xf numFmtId="10" fontId="0" fillId="0" borderId="0" xfId="2" applyNumberFormat="1" applyFont="1"/>
    <xf numFmtId="168" fontId="0" fillId="0" borderId="0" xfId="0" applyNumberFormat="1" applyAlignment="1">
      <alignment horizontal="left"/>
    </xf>
    <xf numFmtId="0" fontId="2" fillId="0" borderId="0" xfId="0" applyFont="1"/>
    <xf numFmtId="0" fontId="2" fillId="3" borderId="0" xfId="0" applyFont="1" applyFill="1"/>
    <xf numFmtId="166" fontId="2" fillId="3" borderId="0" xfId="0" applyNumberFormat="1" applyFont="1" applyFill="1" applyAlignment="1">
      <alignment vertical="top"/>
    </xf>
    <xf numFmtId="168" fontId="2" fillId="0" borderId="0" xfId="0" applyNumberFormat="1" applyFont="1"/>
    <xf numFmtId="0" fontId="3" fillId="0" borderId="0" xfId="0" applyFont="1"/>
    <xf numFmtId="10" fontId="3" fillId="0" borderId="0" xfId="2" applyNumberFormat="1" applyFont="1"/>
    <xf numFmtId="0" fontId="3" fillId="0" borderId="1" xfId="0" applyFont="1" applyBorder="1"/>
    <xf numFmtId="10" fontId="3" fillId="0" borderId="1" xfId="2" applyNumberFormat="1" applyFont="1" applyBorder="1"/>
    <xf numFmtId="0" fontId="0" fillId="0" borderId="2" xfId="0" applyBorder="1"/>
    <xf numFmtId="10" fontId="0" fillId="0" borderId="2" xfId="2" applyNumberFormat="1" applyFont="1" applyBorder="1"/>
    <xf numFmtId="167" fontId="4" fillId="0" borderId="0" xfId="0" applyNumberFormat="1" applyFont="1"/>
    <xf numFmtId="0" fontId="4" fillId="0" borderId="0" xfId="0" applyFont="1"/>
    <xf numFmtId="167" fontId="0" fillId="0" borderId="0" xfId="0" applyNumberFormat="1"/>
    <xf numFmtId="169" fontId="0" fillId="0" borderId="0" xfId="0" applyNumberFormat="1"/>
    <xf numFmtId="169" fontId="3" fillId="0" borderId="0" xfId="0" applyNumberFormat="1" applyFont="1"/>
    <xf numFmtId="167" fontId="5" fillId="0" borderId="0" xfId="0" applyNumberFormat="1" applyFont="1"/>
    <xf numFmtId="167" fontId="6" fillId="0" borderId="0" xfId="0" applyNumberFormat="1" applyFont="1"/>
    <xf numFmtId="170" fontId="7" fillId="0" borderId="0" xfId="0" applyNumberFormat="1" applyFont="1"/>
    <xf numFmtId="37" fontId="0" fillId="0" borderId="0" xfId="0" applyNumberFormat="1"/>
    <xf numFmtId="10" fontId="7" fillId="0" borderId="0" xfId="0" applyNumberFormat="1" applyFont="1"/>
    <xf numFmtId="9" fontId="0" fillId="0" borderId="0" xfId="0" applyNumberFormat="1"/>
    <xf numFmtId="2" fontId="0" fillId="0" borderId="0" xfId="0" applyNumberFormat="1"/>
    <xf numFmtId="0" fontId="7" fillId="0" borderId="0" xfId="0" applyFont="1"/>
    <xf numFmtId="9" fontId="0" fillId="0" borderId="0" xfId="2" applyFont="1"/>
    <xf numFmtId="2" fontId="0" fillId="0" borderId="0" xfId="2" applyNumberFormat="1" applyFont="1"/>
    <xf numFmtId="171" fontId="0" fillId="0" borderId="0" xfId="0" applyNumberFormat="1"/>
    <xf numFmtId="172" fontId="0" fillId="0" borderId="0" xfId="0" applyNumberFormat="1"/>
    <xf numFmtId="10" fontId="0" fillId="0" borderId="0" xfId="0" applyNumberFormat="1"/>
    <xf numFmtId="0" fontId="3" fillId="4" borderId="0" xfId="0" applyFont="1" applyFill="1"/>
    <xf numFmtId="10" fontId="3" fillId="4" borderId="0" xfId="2" applyNumberFormat="1" applyFont="1" applyFill="1"/>
    <xf numFmtId="173" fontId="0" fillId="0" borderId="0" xfId="0" applyNumberFormat="1"/>
    <xf numFmtId="43" fontId="3" fillId="4" borderId="0" xfId="0" applyNumberFormat="1" applyFont="1" applyFill="1"/>
    <xf numFmtId="168" fontId="2" fillId="3" borderId="0" xfId="0" applyNumberFormat="1" applyFont="1" applyFill="1"/>
    <xf numFmtId="0" fontId="0" fillId="4" borderId="0" xfId="0" applyFill="1"/>
    <xf numFmtId="9" fontId="0" fillId="4" borderId="0" xfId="2" applyFont="1" applyFill="1"/>
    <xf numFmtId="2" fontId="0" fillId="4" borderId="0" xfId="0" applyNumberFormat="1" applyFill="1"/>
    <xf numFmtId="2" fontId="0" fillId="4" borderId="0" xfId="2" applyNumberFormat="1" applyFont="1" applyFill="1"/>
    <xf numFmtId="43" fontId="0" fillId="0" borderId="0" xfId="0" applyNumberFormat="1"/>
    <xf numFmtId="43" fontId="0" fillId="4" borderId="0" xfId="0" applyNumberFormat="1" applyFill="1"/>
    <xf numFmtId="0" fontId="8" fillId="0" borderId="0" xfId="0" applyFont="1"/>
    <xf numFmtId="39" fontId="0" fillId="0" borderId="0" xfId="0" applyNumberFormat="1"/>
    <xf numFmtId="39" fontId="0" fillId="4" borderId="0" xfId="0" applyNumberFormat="1" applyFill="1"/>
    <xf numFmtId="174" fontId="0" fillId="0" borderId="0" xfId="0" applyNumberFormat="1"/>
    <xf numFmtId="0" fontId="3" fillId="5" borderId="0" xfId="0" applyFont="1" applyFill="1"/>
    <xf numFmtId="0" fontId="0" fillId="5" borderId="0" xfId="0" applyFill="1"/>
    <xf numFmtId="0" fontId="0" fillId="0" borderId="0" xfId="0" applyAlignment="1">
      <alignment horizontal="left"/>
    </xf>
    <xf numFmtId="175" fontId="0" fillId="0" borderId="0" xfId="0" applyNumberFormat="1" applyAlignment="1">
      <alignment horizontal="right"/>
    </xf>
    <xf numFmtId="175" fontId="0" fillId="4" borderId="0" xfId="0" applyNumberFormat="1" applyFill="1" applyAlignment="1">
      <alignment horizontal="right"/>
    </xf>
    <xf numFmtId="0" fontId="9" fillId="6" borderId="0" xfId="0" applyFont="1" applyFill="1" applyAlignment="1">
      <alignment horizontal="left"/>
    </xf>
    <xf numFmtId="0" fontId="9" fillId="6" borderId="0" xfId="0" applyFont="1" applyFill="1" applyAlignment="1">
      <alignment horizontal="right"/>
    </xf>
    <xf numFmtId="171" fontId="9" fillId="6" borderId="0" xfId="2" applyNumberFormat="1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175" fontId="0" fillId="0" borderId="1" xfId="0" applyNumberFormat="1" applyBorder="1" applyAlignment="1">
      <alignment horizontal="right"/>
    </xf>
    <xf numFmtId="175" fontId="0" fillId="4" borderId="1" xfId="0" applyNumberFormat="1" applyFill="1" applyBorder="1" applyAlignment="1">
      <alignment horizontal="right"/>
    </xf>
    <xf numFmtId="0" fontId="3" fillId="5" borderId="0" xfId="0" applyFont="1" applyFill="1" applyAlignment="1">
      <alignment horizontal="left"/>
    </xf>
    <xf numFmtId="175" fontId="3" fillId="0" borderId="1" xfId="0" applyNumberFormat="1" applyFont="1" applyBorder="1" applyAlignment="1">
      <alignment horizontal="right"/>
    </xf>
    <xf numFmtId="0" fontId="3" fillId="0" borderId="2" xfId="0" applyFont="1" applyBorder="1"/>
    <xf numFmtId="175" fontId="3" fillId="0" borderId="2" xfId="0" applyNumberFormat="1" applyFont="1" applyBorder="1" applyAlignment="1">
      <alignment horizontal="right"/>
    </xf>
    <xf numFmtId="175" fontId="3" fillId="4" borderId="2" xfId="0" applyNumberFormat="1" applyFont="1" applyFill="1" applyBorder="1" applyAlignment="1">
      <alignment horizontal="right"/>
    </xf>
    <xf numFmtId="175" fontId="3" fillId="4" borderId="1" xfId="0" applyNumberFormat="1" applyFont="1" applyFill="1" applyBorder="1" applyAlignment="1">
      <alignment horizontal="right"/>
    </xf>
    <xf numFmtId="175" fontId="3" fillId="0" borderId="0" xfId="0" applyNumberFormat="1" applyFont="1" applyAlignment="1">
      <alignment horizontal="right"/>
    </xf>
    <xf numFmtId="175" fontId="3" fillId="4" borderId="0" xfId="0" applyNumberFormat="1" applyFont="1" applyFill="1" applyAlignment="1">
      <alignment horizontal="right"/>
    </xf>
    <xf numFmtId="176" fontId="0" fillId="0" borderId="0" xfId="0" applyNumberFormat="1" applyAlignment="1">
      <alignment horizontal="right"/>
    </xf>
    <xf numFmtId="176" fontId="0" fillId="4" borderId="0" xfId="0" applyNumberFormat="1" applyFill="1" applyAlignment="1">
      <alignment horizontal="right"/>
    </xf>
    <xf numFmtId="177" fontId="0" fillId="0" borderId="0" xfId="0" applyNumberFormat="1" applyAlignment="1">
      <alignment horizontal="right"/>
    </xf>
    <xf numFmtId="177" fontId="0" fillId="4" borderId="0" xfId="0" applyNumberFormat="1" applyFill="1" applyAlignment="1">
      <alignment horizontal="right"/>
    </xf>
    <xf numFmtId="164" fontId="3" fillId="0" borderId="0" xfId="1" applyFont="1" applyBorder="1"/>
    <xf numFmtId="174" fontId="6" fillId="0" borderId="0" xfId="1" applyNumberFormat="1" applyFont="1" applyFill="1" applyBorder="1"/>
    <xf numFmtId="164" fontId="0" fillId="0" borderId="0" xfId="1" applyFont="1" applyBorder="1"/>
    <xf numFmtId="174" fontId="2" fillId="8" borderId="0" xfId="1" applyNumberFormat="1" applyFont="1" applyFill="1" applyBorder="1"/>
    <xf numFmtId="174" fontId="2" fillId="8" borderId="0" xfId="0" applyNumberFormat="1" applyFont="1" applyFill="1" applyAlignment="1">
      <alignment horizontal="center"/>
    </xf>
    <xf numFmtId="43" fontId="0" fillId="0" borderId="0" xfId="1" applyNumberFormat="1" applyFont="1" applyBorder="1"/>
    <xf numFmtId="0" fontId="11" fillId="0" borderId="0" xfId="0" applyFont="1"/>
    <xf numFmtId="0" fontId="12" fillId="0" borderId="0" xfId="3" applyFont="1" applyBorder="1" applyAlignment="1" applyProtection="1">
      <alignment horizontal="left"/>
    </xf>
    <xf numFmtId="0" fontId="12" fillId="0" borderId="0" xfId="3" applyFont="1" applyBorder="1" applyAlignment="1" applyProtection="1"/>
    <xf numFmtId="0" fontId="2" fillId="8" borderId="0" xfId="0" applyFont="1" applyFill="1"/>
    <xf numFmtId="164" fontId="0" fillId="0" borderId="0" xfId="1" applyFont="1" applyBorder="1" applyAlignment="1">
      <alignment horizontal="center"/>
    </xf>
    <xf numFmtId="164" fontId="3" fillId="0" borderId="0" xfId="1" applyFont="1" applyBorder="1" applyAlignment="1">
      <alignment horizontal="center"/>
    </xf>
    <xf numFmtId="9" fontId="3" fillId="0" borderId="0" xfId="2" applyFont="1" applyBorder="1"/>
    <xf numFmtId="0" fontId="6" fillId="0" borderId="0" xfId="0" applyFont="1"/>
    <xf numFmtId="0" fontId="13" fillId="0" borderId="0" xfId="0" applyFont="1"/>
    <xf numFmtId="0" fontId="2" fillId="8" borderId="0" xfId="0" applyFont="1" applyFill="1" applyAlignment="1">
      <alignment horizontal="center"/>
    </xf>
    <xf numFmtId="9" fontId="0" fillId="0" borderId="0" xfId="1" applyNumberFormat="1" applyFont="1" applyBorder="1"/>
    <xf numFmtId="164" fontId="2" fillId="9" borderId="0" xfId="4" applyNumberFormat="1" applyFont="1" applyBorder="1"/>
    <xf numFmtId="164" fontId="2" fillId="10" borderId="0" xfId="5" applyNumberFormat="1" applyFont="1" applyBorder="1"/>
    <xf numFmtId="10" fontId="3" fillId="0" borderId="0" xfId="0" applyNumberFormat="1" applyFont="1"/>
    <xf numFmtId="0" fontId="0" fillId="0" borderId="0" xfId="0" applyAlignment="1">
      <alignment vertical="top" wrapText="1"/>
    </xf>
    <xf numFmtId="164" fontId="10" fillId="0" borderId="0" xfId="3" applyNumberFormat="1" applyBorder="1" applyAlignment="1" applyProtection="1">
      <alignment horizontal="center"/>
    </xf>
    <xf numFmtId="164" fontId="2" fillId="7" borderId="0" xfId="6" applyNumberFormat="1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10" fontId="0" fillId="4" borderId="0" xfId="2" applyNumberFormat="1" applyFont="1" applyFill="1" applyAlignment="1">
      <alignment horizontal="right"/>
    </xf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Fill="1"/>
    <xf numFmtId="0" fontId="3" fillId="0" borderId="4" xfId="0" applyFont="1" applyBorder="1"/>
    <xf numFmtId="177" fontId="3" fillId="0" borderId="4" xfId="0" applyNumberFormat="1" applyFont="1" applyBorder="1" applyAlignment="1">
      <alignment horizontal="right"/>
    </xf>
    <xf numFmtId="177" fontId="3" fillId="4" borderId="4" xfId="0" applyNumberFormat="1" applyFont="1" applyFill="1" applyBorder="1" applyAlignment="1">
      <alignment horizontal="right"/>
    </xf>
    <xf numFmtId="0" fontId="3" fillId="0" borderId="5" xfId="0" applyFont="1" applyBorder="1"/>
    <xf numFmtId="167" fontId="3" fillId="0" borderId="5" xfId="0" applyNumberFormat="1" applyFont="1" applyBorder="1"/>
    <xf numFmtId="167" fontId="3" fillId="4" borderId="5" xfId="0" applyNumberFormat="1" applyFont="1" applyFill="1" applyBorder="1"/>
    <xf numFmtId="0" fontId="2" fillId="11" borderId="0" xfId="0" applyFont="1" applyFill="1" applyAlignment="1">
      <alignment horizontal="center"/>
    </xf>
    <xf numFmtId="0" fontId="2" fillId="11" borderId="0" xfId="0" applyFont="1" applyFill="1"/>
    <xf numFmtId="0" fontId="2" fillId="11" borderId="3" xfId="0" applyFont="1" applyFill="1" applyBorder="1"/>
  </cellXfs>
  <cellStyles count="7">
    <cellStyle name="60% - Accent1" xfId="4" builtinId="32"/>
    <cellStyle name="60% - Accent3" xfId="5" builtinId="40"/>
    <cellStyle name="Accent6" xfId="6" builtinId="49"/>
    <cellStyle name="Comma" xfId="1" builtinId="3"/>
    <cellStyle name="Hyperlink" xfId="3" builtinId="8"/>
    <cellStyle name="Normal" xfId="0" builtinId="0"/>
    <cellStyle name="Percent" xfId="2" builtinId="5"/>
  </cellStyles>
  <dxfs count="4">
    <dxf>
      <font>
        <b/>
        <i val="0"/>
        <color theme="0"/>
      </font>
      <fill>
        <patternFill patternType="solid">
          <bgColor theme="5"/>
        </patternFill>
      </fill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HUL </a:t>
            </a:r>
            <a:r>
              <a:rPr lang="en-IN"/>
              <a:t>YoY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defTabSz="914400"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'Trend Analysis'!$D$3</c:f>
              <c:strCache>
                <c:ptCount val="1"/>
                <c:pt idx="0">
                  <c:v>YoY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Analysis'!$B$4:$B$17</c:f>
              <c:numCache>
                <c:formatCode>mmm\-yy\ "A"</c:formatCode>
                <c:ptCount val="14"/>
                <c:pt idx="0">
                  <c:v>42825</c:v>
                </c:pt>
                <c:pt idx="1">
                  <c:v>43190</c:v>
                </c:pt>
                <c:pt idx="2">
                  <c:v>43555</c:v>
                </c:pt>
                <c:pt idx="3">
                  <c:v>43921</c:v>
                </c:pt>
                <c:pt idx="4">
                  <c:v>44286</c:v>
                </c:pt>
                <c:pt idx="5">
                  <c:v>44651</c:v>
                </c:pt>
                <c:pt idx="6">
                  <c:v>45016</c:v>
                </c:pt>
                <c:pt idx="7">
                  <c:v>45382</c:v>
                </c:pt>
                <c:pt idx="8">
                  <c:v>45747</c:v>
                </c:pt>
                <c:pt idx="9">
                  <c:v>46112</c:v>
                </c:pt>
                <c:pt idx="10" formatCode="mmm\-yy\ &quot;E&quot;">
                  <c:v>46477</c:v>
                </c:pt>
                <c:pt idx="11" formatCode="mmm\-yy\ &quot;E&quot;">
                  <c:v>46842</c:v>
                </c:pt>
                <c:pt idx="12" formatCode="mmm\-yy\ &quot;E&quot;">
                  <c:v>47207</c:v>
                </c:pt>
                <c:pt idx="13" formatCode="mmm\-yy\ &quot;E&quot;">
                  <c:v>47572</c:v>
                </c:pt>
              </c:numCache>
            </c:numRef>
          </c:cat>
          <c:val>
            <c:numRef>
              <c:f>'Trend Analysis'!$D$4:$D$17</c:f>
              <c:numCache>
                <c:formatCode>0.00%</c:formatCode>
                <c:ptCount val="14"/>
                <c:pt idx="0" formatCode="General">
                  <c:v>0</c:v>
                </c:pt>
                <c:pt idx="1">
                  <c:v>7.1859357095470644E-2</c:v>
                </c:pt>
                <c:pt idx="2">
                  <c:v>0.1059220706147137</c:v>
                </c:pt>
                <c:pt idx="3">
                  <c:v>1.2032561689137689E-2</c:v>
                </c:pt>
                <c:pt idx="4">
                  <c:v>0.18211296282331646</c:v>
                </c:pt>
                <c:pt idx="5">
                  <c:v>0.11520796121459553</c:v>
                </c:pt>
                <c:pt idx="6">
                  <c:v>0.15509285741524614</c:v>
                </c:pt>
                <c:pt idx="7">
                  <c:v>2.1723341036645749E-2</c:v>
                </c:pt>
                <c:pt idx="8">
                  <c:v>1.9791262763344974E-2</c:v>
                </c:pt>
                <c:pt idx="9">
                  <c:v>2.1339966096861618E-2</c:v>
                </c:pt>
                <c:pt idx="10">
                  <c:v>0.11031865593011281</c:v>
                </c:pt>
                <c:pt idx="11">
                  <c:v>6.0319440476622299E-2</c:v>
                </c:pt>
                <c:pt idx="12">
                  <c:v>5.4291457042967783E-2</c:v>
                </c:pt>
                <c:pt idx="13">
                  <c:v>5.1040306324507512E-2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34-4770-AC0E-A47808AD92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35120992"/>
        <c:axId val="9351214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'Trend Analysis'!$C$3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'Trend Analysis'!$B$4:$B$17</c15:sqref>
                        </c15:formulaRef>
                      </c:ext>
                    </c:extLst>
                    <c:numCache>
                      <c:formatCode>mmm\-yy\ "A"</c:formatCode>
                      <c:ptCount val="14"/>
                      <c:pt idx="0">
                        <c:v>42825</c:v>
                      </c:pt>
                      <c:pt idx="1">
                        <c:v>43190</c:v>
                      </c:pt>
                      <c:pt idx="2">
                        <c:v>43555</c:v>
                      </c:pt>
                      <c:pt idx="3">
                        <c:v>43921</c:v>
                      </c:pt>
                      <c:pt idx="4">
                        <c:v>44286</c:v>
                      </c:pt>
                      <c:pt idx="5">
                        <c:v>44651</c:v>
                      </c:pt>
                      <c:pt idx="6">
                        <c:v>45016</c:v>
                      </c:pt>
                      <c:pt idx="7">
                        <c:v>45382</c:v>
                      </c:pt>
                      <c:pt idx="8">
                        <c:v>45747</c:v>
                      </c:pt>
                      <c:pt idx="9">
                        <c:v>46112</c:v>
                      </c:pt>
                      <c:pt idx="10" formatCode="mmm\-yy\ &quot;E&quot;">
                        <c:v>46477</c:v>
                      </c:pt>
                      <c:pt idx="11" formatCode="mmm\-yy\ &quot;E&quot;">
                        <c:v>46842</c:v>
                      </c:pt>
                      <c:pt idx="12" formatCode="mmm\-yy\ &quot;E&quot;">
                        <c:v>47207</c:v>
                      </c:pt>
                      <c:pt idx="13" formatCode="mmm\-yy\ &quot;E&quot;">
                        <c:v>47572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'Trend Analysis'!$C$4:$C$17</c15:sqref>
                        </c15:formulaRef>
                      </c:ext>
                    </c:extLst>
                    <c:numCache>
                      <c:formatCode>#,##0.0_);\(#,##0.0\)</c:formatCode>
                      <c:ptCount val="14"/>
                      <c:pt idx="0">
                        <c:v>33162</c:v>
                      </c:pt>
                      <c:pt idx="1">
                        <c:v>35545</c:v>
                      </c:pt>
                      <c:pt idx="2">
                        <c:v>39310</c:v>
                      </c:pt>
                      <c:pt idx="3">
                        <c:v>39783</c:v>
                      </c:pt>
                      <c:pt idx="4">
                        <c:v>47028</c:v>
                      </c:pt>
                      <c:pt idx="5">
                        <c:v>52446</c:v>
                      </c:pt>
                      <c:pt idx="6">
                        <c:v>60580</c:v>
                      </c:pt>
                      <c:pt idx="7">
                        <c:v>61896</c:v>
                      </c:pt>
                      <c:pt idx="8">
                        <c:v>63121</c:v>
                      </c:pt>
                      <c:pt idx="9">
                        <c:v>64468</c:v>
                      </c:pt>
                      <c:pt idx="10">
                        <c:v>71580.023110502516</c:v>
                      </c:pt>
                      <c:pt idx="11">
                        <c:v>75897.690053831728</c:v>
                      </c:pt>
                      <c:pt idx="12">
                        <c:v>80018.286233049817</c:v>
                      </c:pt>
                      <c:pt idx="13">
                        <c:v>84102.444073946797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B34-4770-AC0E-A47808AD923A}"/>
                  </c:ext>
                </c:extLst>
              </c15:ser>
            </c15:filteredLineSeries>
          </c:ext>
        </c:extLst>
      </c:lineChart>
      <c:catAx>
        <c:axId val="935120992"/>
        <c:scaling>
          <c:orientation val="minMax"/>
        </c:scaling>
        <c:delete val="0"/>
        <c:axPos val="b"/>
        <c:numFmt formatCode="mmm\-yy\ 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21472"/>
        <c:crosses val="autoZero"/>
        <c:auto val="0"/>
        <c:lblAlgn val="ctr"/>
        <c:lblOffset val="100"/>
        <c:noMultiLvlLbl val="1"/>
      </c:catAx>
      <c:valAx>
        <c:axId val="93512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2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7e7ad7b-f501-4e3d-a142-0a8895d5b8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175260</xdr:rowOff>
    </xdr:from>
    <xdr:to>
      <xdr:col>15</xdr:col>
      <xdr:colOff>586740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>
  <tableColumns count="14">
    <tableColumn id="1" xr3:uid="{00000000-0010-0000-0000-000001000000}" name="Column1" dataDxfId="3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 dataDxfId="2"/>
    <tableColumn id="14" xr3:uid="{00000000-0010-0000-0000-00000E000000}" name="Column14" dataDxfId="1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>
  <tableColumns count="11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PageLayoutView="120" workbookViewId="0">
      <pane xSplit="1" ySplit="4" topLeftCell="C5" activePane="bottomRight" state="frozen"/>
      <selection pane="topRight"/>
      <selection pane="bottomLeft"/>
      <selection pane="bottomRight" activeCell="M15" sqref="M15"/>
    </sheetView>
  </sheetViews>
  <sheetFormatPr defaultColWidth="8.77734375" defaultRowHeight="14.4"/>
  <cols>
    <col min="1" max="1" width="20.6640625" customWidth="1"/>
    <col min="2" max="6" width="13.44140625" customWidth="1"/>
    <col min="7" max="7" width="14.77734375" customWidth="1"/>
    <col min="8" max="11" width="13.44140625" customWidth="1"/>
    <col min="12" max="12" width="13.33203125" customWidth="1"/>
    <col min="13" max="14" width="12.109375" customWidth="1"/>
  </cols>
  <sheetData>
    <row r="1" spans="1:14" s="10" customFormat="1">
      <c r="A1" s="10" t="str">
        <f>'Data Sheet'!B1</f>
        <v>HINDUSTAN UNILEVER LTD</v>
      </c>
      <c r="H1" t="str">
        <f>UPDATE</f>
        <v/>
      </c>
      <c r="J1" s="87"/>
      <c r="K1" s="87"/>
      <c r="M1" s="10" t="s">
        <v>0</v>
      </c>
    </row>
    <row r="3" spans="1:14" s="10" customFormat="1">
      <c r="A3" s="82" t="s">
        <v>1</v>
      </c>
      <c r="B3" s="77">
        <f>'Data Sheet'!B16</f>
        <v>42825</v>
      </c>
      <c r="C3" s="77">
        <f>'Data Sheet'!C16</f>
        <v>43190</v>
      </c>
      <c r="D3" s="77">
        <f>'Data Sheet'!D16</f>
        <v>43555</v>
      </c>
      <c r="E3" s="77">
        <f>'Data Sheet'!E16</f>
        <v>43921</v>
      </c>
      <c r="F3" s="77">
        <f>'Data Sheet'!F16</f>
        <v>44286</v>
      </c>
      <c r="G3" s="77">
        <f>'Data Sheet'!G16</f>
        <v>44651</v>
      </c>
      <c r="H3" s="77">
        <f>'Data Sheet'!H16</f>
        <v>45016</v>
      </c>
      <c r="I3" s="77">
        <f>'Data Sheet'!I16</f>
        <v>45382</v>
      </c>
      <c r="J3" s="77">
        <f>'Data Sheet'!J16</f>
        <v>45747</v>
      </c>
      <c r="K3" s="77">
        <f>'Data Sheet'!K16</f>
        <v>46112</v>
      </c>
      <c r="L3" s="88" t="s">
        <v>2</v>
      </c>
      <c r="M3" s="88" t="s">
        <v>3</v>
      </c>
      <c r="N3" s="88" t="s">
        <v>4</v>
      </c>
    </row>
    <row r="4" spans="1:14" s="10" customFormat="1">
      <c r="A4" s="10" t="s">
        <v>5</v>
      </c>
      <c r="B4" s="73">
        <f>'Data Sheet'!B17</f>
        <v>33162</v>
      </c>
      <c r="C4" s="73">
        <f>'Data Sheet'!C17</f>
        <v>35545</v>
      </c>
      <c r="D4" s="73">
        <f>'Data Sheet'!D17</f>
        <v>39310</v>
      </c>
      <c r="E4" s="73">
        <f>'Data Sheet'!E17</f>
        <v>39783</v>
      </c>
      <c r="F4" s="73">
        <f>'Data Sheet'!F17</f>
        <v>47028</v>
      </c>
      <c r="G4" s="73">
        <f>'Data Sheet'!G17</f>
        <v>52446</v>
      </c>
      <c r="H4" s="73">
        <f>'Data Sheet'!H17</f>
        <v>60580</v>
      </c>
      <c r="I4" s="73">
        <f>'Data Sheet'!I17</f>
        <v>61896</v>
      </c>
      <c r="J4" s="73">
        <f>'Data Sheet'!J17</f>
        <v>63121</v>
      </c>
      <c r="K4" s="73">
        <f>'Data Sheet'!K17</f>
        <v>64468</v>
      </c>
      <c r="L4" s="73">
        <f>SUM(Quarters!H4:K4)</f>
        <v>65225</v>
      </c>
      <c r="M4" s="73">
        <f>$K4+M23*K4</f>
        <v>65843.744934332499</v>
      </c>
      <c r="N4" s="73">
        <f>$K4+N23*L4</f>
        <v>65834.540816360299</v>
      </c>
    </row>
    <row r="5" spans="1:14">
      <c r="A5" t="s">
        <v>6</v>
      </c>
      <c r="B5" s="75">
        <f>SUM('Data Sheet'!B18,'Data Sheet'!B20:B24,-1*'Data Sheet'!B19)</f>
        <v>26834</v>
      </c>
      <c r="C5" s="75">
        <f>SUM('Data Sheet'!C18,'Data Sheet'!C20:C24,-1*'Data Sheet'!C19)</f>
        <v>28046</v>
      </c>
      <c r="D5" s="75">
        <f>SUM('Data Sheet'!D18,'Data Sheet'!D20:D24,-1*'Data Sheet'!D19)</f>
        <v>30430</v>
      </c>
      <c r="E5" s="75">
        <f>SUM('Data Sheet'!E18,'Data Sheet'!E20:E24,-1*'Data Sheet'!E19)</f>
        <v>29922</v>
      </c>
      <c r="F5" s="75">
        <f>SUM('Data Sheet'!F18,'Data Sheet'!F20:F24,-1*'Data Sheet'!F19)</f>
        <v>35402</v>
      </c>
      <c r="G5" s="75">
        <f>SUM('Data Sheet'!G18,'Data Sheet'!G20:G24,-1*'Data Sheet'!G19)</f>
        <v>39589</v>
      </c>
      <c r="H5" s="75">
        <f>SUM('Data Sheet'!H18,'Data Sheet'!H20:H24,-1*'Data Sheet'!H19)</f>
        <v>46433</v>
      </c>
      <c r="I5" s="75">
        <f>SUM('Data Sheet'!I18,'Data Sheet'!I20:I24,-1*'Data Sheet'!I19)</f>
        <v>47237</v>
      </c>
      <c r="J5" s="75">
        <f>SUM('Data Sheet'!J18,'Data Sheet'!J20:J24,-1*'Data Sheet'!J19)</f>
        <v>48278</v>
      </c>
      <c r="K5" s="75">
        <f>SUM('Data Sheet'!K18,'Data Sheet'!K20:K24,-1*'Data Sheet'!K19)</f>
        <v>49429</v>
      </c>
      <c r="L5" s="75">
        <f>SUM(Quarters!H5:K5)</f>
        <v>50108</v>
      </c>
      <c r="M5" s="75">
        <f>M4-M6</f>
        <v>50366.286332754004</v>
      </c>
      <c r="N5" s="75">
        <f>N4-N6</f>
        <v>50576.269394038798</v>
      </c>
    </row>
    <row r="6" spans="1:14" s="10" customFormat="1">
      <c r="A6" s="10" t="s">
        <v>7</v>
      </c>
      <c r="B6" s="73">
        <f>B4-B5</f>
        <v>6328</v>
      </c>
      <c r="C6" s="73">
        <f t="shared" ref="C6:K6" si="0">C4-C5</f>
        <v>7499</v>
      </c>
      <c r="D6" s="73">
        <f t="shared" si="0"/>
        <v>8880</v>
      </c>
      <c r="E6" s="73">
        <f t="shared" si="0"/>
        <v>9861</v>
      </c>
      <c r="F6" s="73">
        <f t="shared" si="0"/>
        <v>11626</v>
      </c>
      <c r="G6" s="73">
        <f t="shared" si="0"/>
        <v>12857</v>
      </c>
      <c r="H6" s="73">
        <f t="shared" si="0"/>
        <v>14147</v>
      </c>
      <c r="I6" s="73">
        <f t="shared" si="0"/>
        <v>14659</v>
      </c>
      <c r="J6" s="73">
        <f t="shared" si="0"/>
        <v>14843</v>
      </c>
      <c r="K6" s="73">
        <f t="shared" si="0"/>
        <v>15039</v>
      </c>
      <c r="L6" s="73">
        <f>SUM(Quarters!H6:K6)</f>
        <v>15117</v>
      </c>
      <c r="M6" s="73">
        <f>M4*M24</f>
        <v>15477.458601578501</v>
      </c>
      <c r="N6" s="73">
        <f>N4*N24</f>
        <v>15258.271422321501</v>
      </c>
    </row>
    <row r="7" spans="1:14">
      <c r="A7" t="s">
        <v>8</v>
      </c>
      <c r="B7" s="75">
        <f>'Data Sheet'!B25</f>
        <v>606</v>
      </c>
      <c r="C7" s="75">
        <f>'Data Sheet'!C25</f>
        <v>353</v>
      </c>
      <c r="D7" s="75">
        <f>'Data Sheet'!D25</f>
        <v>322</v>
      </c>
      <c r="E7" s="75">
        <f>'Data Sheet'!E25</f>
        <v>424</v>
      </c>
      <c r="F7" s="75">
        <f>'Data Sheet'!F25</f>
        <v>170</v>
      </c>
      <c r="G7" s="75">
        <f>'Data Sheet'!G25</f>
        <v>219</v>
      </c>
      <c r="H7" s="75">
        <f>'Data Sheet'!H25</f>
        <v>448</v>
      </c>
      <c r="I7" s="75">
        <f>'Data Sheet'!I25</f>
        <v>817</v>
      </c>
      <c r="J7" s="75">
        <f>'Data Sheet'!J25</f>
        <v>1322</v>
      </c>
      <c r="K7" s="75">
        <f>'Data Sheet'!K25</f>
        <v>4923</v>
      </c>
      <c r="L7" s="75">
        <f>SUM(Quarters!H7:K7)</f>
        <v>4894</v>
      </c>
      <c r="M7" s="75">
        <v>0</v>
      </c>
      <c r="N7" s="75">
        <v>0</v>
      </c>
    </row>
    <row r="8" spans="1:14">
      <c r="A8" t="s">
        <v>9</v>
      </c>
      <c r="B8" s="75">
        <f>'Data Sheet'!B26</f>
        <v>432</v>
      </c>
      <c r="C8" s="75">
        <f>'Data Sheet'!C26</f>
        <v>520</v>
      </c>
      <c r="D8" s="75">
        <f>'Data Sheet'!D26</f>
        <v>565</v>
      </c>
      <c r="E8" s="75">
        <f>'Data Sheet'!E26</f>
        <v>1002</v>
      </c>
      <c r="F8" s="75">
        <f>'Data Sheet'!F26</f>
        <v>1074</v>
      </c>
      <c r="G8" s="75">
        <f>'Data Sheet'!G26</f>
        <v>1091</v>
      </c>
      <c r="H8" s="75">
        <f>'Data Sheet'!H26</f>
        <v>1137</v>
      </c>
      <c r="I8" s="75">
        <f>'Data Sheet'!I26</f>
        <v>1216</v>
      </c>
      <c r="J8" s="75">
        <f>'Data Sheet'!J26</f>
        <v>1355</v>
      </c>
      <c r="K8" s="75">
        <f>'Data Sheet'!K26</f>
        <v>1333</v>
      </c>
      <c r="L8" s="75">
        <f>SUM(Quarters!H8:K8)</f>
        <v>1368</v>
      </c>
      <c r="M8" s="75">
        <f>+$L8</f>
        <v>1368</v>
      </c>
      <c r="N8" s="75">
        <f>+$L8</f>
        <v>1368</v>
      </c>
    </row>
    <row r="9" spans="1:14">
      <c r="A9" t="s">
        <v>10</v>
      </c>
      <c r="B9" s="75">
        <f>'Data Sheet'!B27</f>
        <v>35</v>
      </c>
      <c r="C9" s="75">
        <f>'Data Sheet'!C27</f>
        <v>26</v>
      </c>
      <c r="D9" s="75">
        <f>'Data Sheet'!D27</f>
        <v>33</v>
      </c>
      <c r="E9" s="75">
        <f>'Data Sheet'!E27</f>
        <v>118</v>
      </c>
      <c r="F9" s="75">
        <f>'Data Sheet'!F27</f>
        <v>117</v>
      </c>
      <c r="G9" s="75">
        <f>'Data Sheet'!G27</f>
        <v>106</v>
      </c>
      <c r="H9" s="75">
        <f>'Data Sheet'!H27</f>
        <v>114</v>
      </c>
      <c r="I9" s="75">
        <f>'Data Sheet'!I27</f>
        <v>334</v>
      </c>
      <c r="J9" s="75">
        <f>'Data Sheet'!J27</f>
        <v>395</v>
      </c>
      <c r="K9" s="75">
        <f>'Data Sheet'!K27</f>
        <v>410</v>
      </c>
      <c r="L9" s="75">
        <f>SUM(Quarters!H9:K9)</f>
        <v>415</v>
      </c>
      <c r="M9" s="75">
        <f>+$L9</f>
        <v>415</v>
      </c>
      <c r="N9" s="75">
        <f>+$L9</f>
        <v>415</v>
      </c>
    </row>
    <row r="10" spans="1:14">
      <c r="A10" t="s">
        <v>11</v>
      </c>
      <c r="B10" s="75">
        <f>'Data Sheet'!B28</f>
        <v>6467</v>
      </c>
      <c r="C10" s="75">
        <f>'Data Sheet'!C28</f>
        <v>7306</v>
      </c>
      <c r="D10" s="75">
        <f>'Data Sheet'!D28</f>
        <v>8604</v>
      </c>
      <c r="E10" s="75">
        <f>'Data Sheet'!E28</f>
        <v>9165</v>
      </c>
      <c r="F10" s="75">
        <f>'Data Sheet'!F28</f>
        <v>10605</v>
      </c>
      <c r="G10" s="75">
        <f>'Data Sheet'!G28</f>
        <v>11879</v>
      </c>
      <c r="H10" s="75">
        <f>'Data Sheet'!H28</f>
        <v>13344</v>
      </c>
      <c r="I10" s="75">
        <f>'Data Sheet'!I28</f>
        <v>13926</v>
      </c>
      <c r="J10" s="75">
        <f>'Data Sheet'!J28</f>
        <v>14415</v>
      </c>
      <c r="K10" s="75">
        <f>'Data Sheet'!K28</f>
        <v>18219</v>
      </c>
      <c r="L10" s="75">
        <f>SUM(Quarters!H10:K10)</f>
        <v>18228</v>
      </c>
      <c r="M10" s="75">
        <f>M6+M7-SUM(M8:M9)</f>
        <v>13694.458601578501</v>
      </c>
      <c r="N10" s="75">
        <f>N6+N7-SUM(N8:N9)</f>
        <v>13475.271422321501</v>
      </c>
    </row>
    <row r="11" spans="1:14">
      <c r="A11" t="s">
        <v>12</v>
      </c>
      <c r="B11" s="75">
        <f>'Data Sheet'!B29</f>
        <v>1977</v>
      </c>
      <c r="C11" s="75">
        <f>'Data Sheet'!C29</f>
        <v>2079</v>
      </c>
      <c r="D11" s="75">
        <f>'Data Sheet'!D29</f>
        <v>2544</v>
      </c>
      <c r="E11" s="75">
        <f>'Data Sheet'!E29</f>
        <v>2409</v>
      </c>
      <c r="F11" s="75">
        <f>'Data Sheet'!F29</f>
        <v>2606</v>
      </c>
      <c r="G11" s="75">
        <f>'Data Sheet'!G29</f>
        <v>2987</v>
      </c>
      <c r="H11" s="75">
        <f>'Data Sheet'!H29</f>
        <v>3201</v>
      </c>
      <c r="I11" s="75">
        <f>'Data Sheet'!I29</f>
        <v>3644</v>
      </c>
      <c r="J11" s="75">
        <f>'Data Sheet'!J29</f>
        <v>3744</v>
      </c>
      <c r="K11" s="75">
        <f>'Data Sheet'!K29</f>
        <v>3160</v>
      </c>
      <c r="L11" s="75">
        <f>SUM(Quarters!H11:K11)</f>
        <v>3169</v>
      </c>
      <c r="M11" s="89">
        <f>IF($L10&gt;0,$L11/$L10,0)</f>
        <v>0.17385341233267501</v>
      </c>
      <c r="N11" s="89">
        <f>IF($L10&gt;0,$L11/$L10,0)</f>
        <v>0.17385341233267501</v>
      </c>
    </row>
    <row r="12" spans="1:14" s="10" customFormat="1">
      <c r="A12" s="10" t="s">
        <v>13</v>
      </c>
      <c r="B12" s="73">
        <f>'Data Sheet'!B30</f>
        <v>4476</v>
      </c>
      <c r="C12" s="73">
        <f>'Data Sheet'!C30</f>
        <v>5214</v>
      </c>
      <c r="D12" s="73">
        <f>'Data Sheet'!D30</f>
        <v>6054</v>
      </c>
      <c r="E12" s="73">
        <f>'Data Sheet'!E30</f>
        <v>6748</v>
      </c>
      <c r="F12" s="73">
        <f>'Data Sheet'!F30</f>
        <v>7995</v>
      </c>
      <c r="G12" s="73">
        <f>'Data Sheet'!G30</f>
        <v>8879</v>
      </c>
      <c r="H12" s="73">
        <f>'Data Sheet'!H30</f>
        <v>10120</v>
      </c>
      <c r="I12" s="73">
        <f>'Data Sheet'!I30</f>
        <v>10277</v>
      </c>
      <c r="J12" s="73">
        <f>'Data Sheet'!J30</f>
        <v>10649</v>
      </c>
      <c r="K12" s="73">
        <f>'Data Sheet'!K30</f>
        <v>15040</v>
      </c>
      <c r="L12" s="73">
        <f>SUM(Quarters!H12:K12)</f>
        <v>15040</v>
      </c>
      <c r="M12" s="73">
        <f>M10-M11*M10</f>
        <v>11313.630243645501</v>
      </c>
      <c r="N12" s="73">
        <f>N10-N11*N10</f>
        <v>11132.5495034419</v>
      </c>
    </row>
    <row r="13" spans="1:14">
      <c r="A13" t="s">
        <v>14</v>
      </c>
      <c r="B13" s="75">
        <f>IF('Data Sheet'!B124&gt;0,B12/'Data Sheet'!B124,0)</f>
        <v>20.681051610220401</v>
      </c>
      <c r="C13" s="75">
        <f>IF('Data Sheet'!C124&gt;0,C12/'Data Sheet'!C124,0)</f>
        <v>24.088704088704102</v>
      </c>
      <c r="D13" s="75">
        <f>IF('Data Sheet'!D124&gt;0,D12/'Data Sheet'!D124,0)</f>
        <v>27.966923823162599</v>
      </c>
      <c r="E13" s="75">
        <f>IF('Data Sheet'!E124&gt;0,E12/'Data Sheet'!E124,0)</f>
        <v>31.171470805617101</v>
      </c>
      <c r="F13" s="75">
        <f>IF('Data Sheet'!F124&gt;0,F12/'Data Sheet'!F124,0)</f>
        <v>34.027068437180802</v>
      </c>
      <c r="G13" s="75">
        <f>IF('Data Sheet'!G124&gt;0,G12/'Data Sheet'!G124,0)</f>
        <v>37.789410963568301</v>
      </c>
      <c r="H13" s="75">
        <f>IF('Data Sheet'!H124&gt;0,H12/'Data Sheet'!H124,0)</f>
        <v>43.071161048689099</v>
      </c>
      <c r="I13" s="75">
        <f>IF('Data Sheet'!I124&gt;0,I12/'Data Sheet'!I124,0)</f>
        <v>43.739359891045297</v>
      </c>
      <c r="J13" s="75">
        <f>IF('Data Sheet'!J124&gt;0,J12/'Data Sheet'!J124,0)</f>
        <v>45.322608103507001</v>
      </c>
      <c r="K13" s="75">
        <f>IF('Data Sheet'!K124&gt;0,K12/'Data Sheet'!K124,0)</f>
        <v>64.010895471569597</v>
      </c>
      <c r="L13" s="75">
        <f>IF('Data Sheet'!$B6&gt;0,'Profit &amp; Loss'!L12/'Data Sheet'!$B6,0)</f>
        <v>63.964655986771398</v>
      </c>
      <c r="M13" s="75">
        <f>IF('Data Sheet'!$B6&gt;0,'Profit &amp; Loss'!M12/'Data Sheet'!$B6,0)</f>
        <v>48.116520378744603</v>
      </c>
      <c r="N13" s="75">
        <f>IF('Data Sheet'!$B6&gt;0,'Profit &amp; Loss'!N12/'Data Sheet'!$B6,0)</f>
        <v>47.346389577351303</v>
      </c>
    </row>
    <row r="14" spans="1:14">
      <c r="A14" t="s">
        <v>15</v>
      </c>
      <c r="B14" s="75">
        <f>IF(B15&gt;0,B15/B13,"")</f>
        <v>42.193695777479903</v>
      </c>
      <c r="C14" s="75">
        <f t="shared" ref="C14:K14" si="1">IF(C15&gt;0,C15/C13,"")</f>
        <v>52.975452531645601</v>
      </c>
      <c r="D14" s="75">
        <f t="shared" si="1"/>
        <v>58.409355649157597</v>
      </c>
      <c r="E14" s="75">
        <f t="shared" si="1"/>
        <v>70.571902548903395</v>
      </c>
      <c r="F14" s="75">
        <f t="shared" si="1"/>
        <v>68.390258311444697</v>
      </c>
      <c r="G14" s="75">
        <f t="shared" si="1"/>
        <v>51.884905056875802</v>
      </c>
      <c r="H14" s="75">
        <f t="shared" si="1"/>
        <v>56.8928243478261</v>
      </c>
      <c r="I14" s="75">
        <f t="shared" si="1"/>
        <v>49.546678447017598</v>
      </c>
      <c r="J14" s="75">
        <f t="shared" si="1"/>
        <v>47.699814517795097</v>
      </c>
      <c r="K14" s="75">
        <f t="shared" si="1"/>
        <v>32.107034042553202</v>
      </c>
      <c r="L14" s="75">
        <f>IF(L13&gt;0,L15/L13,0)</f>
        <v>34.3541283244681</v>
      </c>
      <c r="M14" s="75">
        <f>M25</f>
        <v>40.926913832958498</v>
      </c>
      <c r="N14" s="75">
        <f>N25</f>
        <v>34.3541283244681</v>
      </c>
    </row>
    <row r="15" spans="1:14" s="10" customFormat="1">
      <c r="A15" s="10" t="s">
        <v>16</v>
      </c>
      <c r="B15" s="73">
        <f>'Data Sheet'!B121</f>
        <v>872.61</v>
      </c>
      <c r="C15" s="73">
        <f>'Data Sheet'!C121</f>
        <v>1276.1099999999999</v>
      </c>
      <c r="D15" s="73">
        <f>'Data Sheet'!D121</f>
        <v>1633.53</v>
      </c>
      <c r="E15" s="73">
        <f>'Data Sheet'!E121</f>
        <v>2199.83</v>
      </c>
      <c r="F15" s="73">
        <f>'Data Sheet'!F121</f>
        <v>2327.12</v>
      </c>
      <c r="G15" s="73">
        <f>'Data Sheet'!G121</f>
        <v>1960.7</v>
      </c>
      <c r="H15" s="73">
        <f>'Data Sheet'!H121</f>
        <v>2450.44</v>
      </c>
      <c r="I15" s="73">
        <f>'Data Sheet'!I121</f>
        <v>2167.14</v>
      </c>
      <c r="J15" s="73">
        <f>'Data Sheet'!J121</f>
        <v>2161.88</v>
      </c>
      <c r="K15" s="73">
        <f>'Data Sheet'!K121</f>
        <v>2055.1999999999998</v>
      </c>
      <c r="L15" s="73">
        <f>'Data Sheet'!B8</f>
        <v>2197.4499999999998</v>
      </c>
      <c r="M15" s="90">
        <f>M13*M14</f>
        <v>1969.2606834826699</v>
      </c>
      <c r="N15" s="91">
        <f>N13*N14</f>
        <v>1626.5439432405899</v>
      </c>
    </row>
    <row r="17" spans="1:14" s="10" customFormat="1">
      <c r="A17" s="10" t="s">
        <v>17</v>
      </c>
    </row>
    <row r="18" spans="1:14">
      <c r="A18" t="s">
        <v>18</v>
      </c>
      <c r="B18" s="33">
        <f>IF('Data Sheet'!B30&gt;0,'Data Sheet'!B31/'Data Sheet'!B30,0)</f>
        <v>0.82037533512064298</v>
      </c>
      <c r="C18" s="33">
        <f>IF('Data Sheet'!C30&gt;0,'Data Sheet'!C31/'Data Sheet'!C30,0)</f>
        <v>0.82853855005753696</v>
      </c>
      <c r="D18" s="33">
        <f>IF('Data Sheet'!D30&gt;0,'Data Sheet'!D31/'Data Sheet'!D30,0)</f>
        <v>0.78493557978196205</v>
      </c>
      <c r="E18" s="33">
        <f>IF('Data Sheet'!E30&gt;0,'Data Sheet'!E31/'Data Sheet'!E30,0)</f>
        <v>0.80023710729104902</v>
      </c>
      <c r="F18" s="33">
        <f>IF('Data Sheet'!F30&gt;0,'Data Sheet'!F31/'Data Sheet'!F30,0)</f>
        <v>1.1904315196998101</v>
      </c>
      <c r="G18" s="33">
        <f>IF('Data Sheet'!G30&gt;0,'Data Sheet'!G31/'Data Sheet'!G30,0)</f>
        <v>0.89987611217479402</v>
      </c>
      <c r="H18" s="33">
        <f>IF('Data Sheet'!H30&gt;0,'Data Sheet'!H31/'Data Sheet'!H30,0)</f>
        <v>0.90563241106719405</v>
      </c>
      <c r="I18" s="33">
        <f>IF('Data Sheet'!I30&gt;0,'Data Sheet'!I31/'Data Sheet'!I30,0)</f>
        <v>0.96039700301644404</v>
      </c>
      <c r="J18" s="33">
        <f>IF('Data Sheet'!J30&gt;0,'Data Sheet'!J31/'Data Sheet'!J30,0)</f>
        <v>1.16959338905062</v>
      </c>
      <c r="K18" s="33">
        <f>IF('Data Sheet'!K30&gt;0,'Data Sheet'!K31/'Data Sheet'!K30,0)</f>
        <v>0.640625</v>
      </c>
    </row>
    <row r="19" spans="1:14">
      <c r="A19" t="s">
        <v>19</v>
      </c>
      <c r="B19" s="33">
        <f>IF(B6&gt;0,B6/B4,0)</f>
        <v>0.19082081900971001</v>
      </c>
      <c r="C19" s="33">
        <f t="shared" ref="C19:L19" si="2">IF(C6&gt;0,C6/C4,0)</f>
        <v>0.210972007314672</v>
      </c>
      <c r="D19" s="33">
        <f t="shared" si="2"/>
        <v>0.22589671839226699</v>
      </c>
      <c r="E19" s="33">
        <f t="shared" si="2"/>
        <v>0.24786969308498599</v>
      </c>
      <c r="F19" s="33">
        <f t="shared" si="2"/>
        <v>0.24721442544866901</v>
      </c>
      <c r="G19" s="33">
        <f t="shared" si="2"/>
        <v>0.245147389696068</v>
      </c>
      <c r="H19" s="33">
        <f t="shared" si="2"/>
        <v>0.233525916143942</v>
      </c>
      <c r="I19" s="33">
        <f t="shared" si="2"/>
        <v>0.23683275171255</v>
      </c>
      <c r="J19" s="33">
        <f t="shared" si="2"/>
        <v>0.235151534354652</v>
      </c>
      <c r="K19" s="33">
        <f t="shared" si="2"/>
        <v>0.233278525780232</v>
      </c>
      <c r="L19" s="33">
        <f t="shared" si="2"/>
        <v>0.23176696052127299</v>
      </c>
    </row>
    <row r="20" spans="1:14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</row>
    <row r="21" spans="1:14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4" s="10" customFormat="1">
      <c r="A22" s="82"/>
      <c r="B22" s="77"/>
      <c r="C22" s="77"/>
      <c r="D22" s="77"/>
      <c r="E22" s="77"/>
      <c r="F22" s="77"/>
      <c r="G22" s="77" t="s">
        <v>20</v>
      </c>
      <c r="H22" s="77" t="s">
        <v>21</v>
      </c>
      <c r="I22" s="77" t="s">
        <v>22</v>
      </c>
      <c r="J22" s="77" t="s">
        <v>23</v>
      </c>
      <c r="K22" s="77" t="s">
        <v>24</v>
      </c>
      <c r="L22" s="88" t="s">
        <v>25</v>
      </c>
      <c r="M22" s="88" t="s">
        <v>26</v>
      </c>
      <c r="N22" s="88" t="s">
        <v>27</v>
      </c>
    </row>
    <row r="23" spans="1:14" s="10" customFormat="1">
      <c r="A23"/>
      <c r="B23"/>
      <c r="C23"/>
      <c r="D23"/>
      <c r="E23"/>
      <c r="F23"/>
      <c r="G23" t="s">
        <v>28</v>
      </c>
      <c r="H23" s="33">
        <f>IF(B4=0,"",POWER($K4/B4,1/9)-1)</f>
        <v>7.6658974207876901E-2</v>
      </c>
      <c r="I23" s="33">
        <f>IF(D4=0,"",POWER($K4/D4,1/7)-1)</f>
        <v>7.3227008221417894E-2</v>
      </c>
      <c r="J23" s="33">
        <f>IF(F4=0,"",POWER($K4/F4,1/5)-1)</f>
        <v>6.5117542409641502E-2</v>
      </c>
      <c r="K23" s="33">
        <f>IF(H4=0,"",POWER($K4/H4,1/3)-1)</f>
        <v>2.0951181546343501E-2</v>
      </c>
      <c r="L23" s="33">
        <f>IF(ISERROR(MAX(IF(J4=0,"",(K4-J4)/J4),IF(K4=0,"",(L4-K4)/K4))),"",MAX(IF(J4=0,"",(K4-J4)/J4),IF(K4=0,"",(L4-K4)/K4)))</f>
        <v>2.13399660968616E-2</v>
      </c>
      <c r="M23" s="92">
        <f>MAX(K23:L23)</f>
        <v>2.13399660968616E-2</v>
      </c>
      <c r="N23" s="92">
        <f>MIN(H23:L23)</f>
        <v>2.0951181546343501E-2</v>
      </c>
    </row>
    <row r="24" spans="1:14">
      <c r="G24" t="s">
        <v>19</v>
      </c>
      <c r="H24" s="33">
        <f>IF(SUM(B4:$K$4)=0,"",SUMPRODUCT(B19:$K$19,B4:$K$4)/SUM(B4:$K$4))</f>
        <v>0.23271651730509799</v>
      </c>
      <c r="I24" s="33">
        <f>IF(SUM(E4:$K$4)=0,"",SUMPRODUCT(E19:$K$19,E4:$K$4)/SUM(E4:$K$4))</f>
        <v>0.23895901079312201</v>
      </c>
      <c r="J24" s="33">
        <f>IF(SUM(G4:$K$4)=0,"",SUMPRODUCT(G19:$K$19,G4:$K$4)/SUM(G4:$K$4))</f>
        <v>0.236503796556158</v>
      </c>
      <c r="K24" s="33">
        <f>IF(SUM(I4:$K$4)=0,"",SUMPRODUCT(I19:$K$19,I4:$K$4)/SUM(I4:$K$4))</f>
        <v>0.23506346148771701</v>
      </c>
      <c r="L24" s="33">
        <f>L19</f>
        <v>0.23176696052127299</v>
      </c>
      <c r="M24" s="92">
        <f>MAX(K24:L24)</f>
        <v>0.23506346148771701</v>
      </c>
      <c r="N24" s="92">
        <f>MIN(H24:L24)</f>
        <v>0.23176696052127299</v>
      </c>
    </row>
    <row r="25" spans="1:14">
      <c r="G25" t="s">
        <v>29</v>
      </c>
      <c r="H25" s="75">
        <f>IF(ISERROR(AVERAGEIF(B14:$L14,"&gt;0")),"",AVERAGEIF(B14:$L14,"&gt;0"))</f>
        <v>51.366004505015198</v>
      </c>
      <c r="I25" s="75">
        <f>IF(ISERROR(AVERAGEIF(E14:$L14,"&gt;0")),"",AVERAGEIF(E14:$L14,"&gt;0"))</f>
        <v>51.430943199610503</v>
      </c>
      <c r="J25" s="75">
        <f>IF(ISERROR(AVERAGEIF(G14:$L14,"&gt;0")),"",AVERAGEIF(G14:$L14,"&gt;0"))</f>
        <v>45.414230789422597</v>
      </c>
      <c r="K25" s="75">
        <f>IF(ISERROR(AVERAGEIF(I14:$L14,"&gt;0")),"",AVERAGEIF(I14:$L14,"&gt;0"))</f>
        <v>40.926913832958498</v>
      </c>
      <c r="L25" s="75">
        <f>L14</f>
        <v>34.3541283244681</v>
      </c>
      <c r="M25" s="73">
        <f>MAX(K25:L25)</f>
        <v>40.926913832958498</v>
      </c>
      <c r="N25" s="73">
        <f>MIN(H25:L25)</f>
        <v>34.3541283244681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zoomScaleNormal="150" workbookViewId="0">
      <pane xSplit="1" ySplit="3" topLeftCell="D4" activePane="bottomRight" state="frozen"/>
      <selection pane="topRight"/>
      <selection pane="bottomLeft"/>
      <selection pane="bottomRight" activeCell="K5" sqref="K5"/>
    </sheetView>
  </sheetViews>
  <sheetFormatPr defaultColWidth="8.77734375" defaultRowHeight="14.4"/>
  <cols>
    <col min="1" max="1" width="20.6640625" customWidth="1"/>
    <col min="2" max="11" width="13.44140625" customWidth="1"/>
  </cols>
  <sheetData>
    <row r="1" spans="1:11" s="10" customFormat="1">
      <c r="A1" s="10" t="str">
        <f>'Profit &amp; Loss'!A1</f>
        <v>HINDUSTAN UNILEVER LTD</v>
      </c>
      <c r="E1" t="str">
        <f>UPDATE</f>
        <v/>
      </c>
      <c r="J1" s="10" t="s">
        <v>0</v>
      </c>
    </row>
    <row r="3" spans="1:11" s="10" customFormat="1">
      <c r="A3" s="82" t="s">
        <v>1</v>
      </c>
      <c r="B3" s="77">
        <f>'Data Sheet'!B41</f>
        <v>45291</v>
      </c>
      <c r="C3" s="77">
        <f>'Data Sheet'!C41</f>
        <v>45382</v>
      </c>
      <c r="D3" s="77">
        <f>'Data Sheet'!D41</f>
        <v>45473</v>
      </c>
      <c r="E3" s="77">
        <f>'Data Sheet'!E41</f>
        <v>45565</v>
      </c>
      <c r="F3" s="77">
        <f>'Data Sheet'!F41</f>
        <v>45657</v>
      </c>
      <c r="G3" s="77">
        <f>'Data Sheet'!G41</f>
        <v>45747</v>
      </c>
      <c r="H3" s="77">
        <f>'Data Sheet'!H41</f>
        <v>45838</v>
      </c>
      <c r="I3" s="77">
        <f>'Data Sheet'!I41</f>
        <v>45930</v>
      </c>
      <c r="J3" s="77">
        <f>'Data Sheet'!J41</f>
        <v>46022</v>
      </c>
      <c r="K3" s="77">
        <f>'Data Sheet'!K41</f>
        <v>46112</v>
      </c>
    </row>
    <row r="4" spans="1:11" s="10" customFormat="1">
      <c r="A4" s="10" t="s">
        <v>5</v>
      </c>
      <c r="B4" s="73">
        <f>'Data Sheet'!B42</f>
        <v>15567</v>
      </c>
      <c r="C4" s="73">
        <f>'Data Sheet'!C42</f>
        <v>15210</v>
      </c>
      <c r="D4" s="73">
        <f>'Data Sheet'!D42</f>
        <v>15707</v>
      </c>
      <c r="E4" s="73">
        <f>'Data Sheet'!E42</f>
        <v>15926</v>
      </c>
      <c r="F4" s="73">
        <f>'Data Sheet'!F42</f>
        <v>15556</v>
      </c>
      <c r="G4" s="73">
        <f>'Data Sheet'!G42</f>
        <v>15190</v>
      </c>
      <c r="H4" s="73">
        <f>'Data Sheet'!H42</f>
        <v>16514</v>
      </c>
      <c r="I4" s="73">
        <f>'Data Sheet'!I42</f>
        <v>15919</v>
      </c>
      <c r="J4" s="73">
        <f>'Data Sheet'!J42</f>
        <v>16441</v>
      </c>
      <c r="K4" s="73">
        <f>'Data Sheet'!K42</f>
        <v>16351</v>
      </c>
    </row>
    <row r="5" spans="1:11">
      <c r="A5" t="s">
        <v>6</v>
      </c>
      <c r="B5" s="75">
        <f>'Data Sheet'!B43</f>
        <v>11902</v>
      </c>
      <c r="C5" s="75">
        <f>'Data Sheet'!C43</f>
        <v>11675</v>
      </c>
      <c r="D5" s="75">
        <f>'Data Sheet'!D43</f>
        <v>11965</v>
      </c>
      <c r="E5" s="75">
        <f>'Data Sheet'!E43</f>
        <v>12139</v>
      </c>
      <c r="F5" s="75">
        <f>'Data Sheet'!F43</f>
        <v>11867</v>
      </c>
      <c r="G5" s="75">
        <f>'Data Sheet'!G43</f>
        <v>11572</v>
      </c>
      <c r="H5" s="75">
        <f>'Data Sheet'!H43</f>
        <v>12797</v>
      </c>
      <c r="I5" s="75">
        <f>'Data Sheet'!I43</f>
        <v>12137</v>
      </c>
      <c r="J5" s="75">
        <f>'Data Sheet'!J43</f>
        <v>12660</v>
      </c>
      <c r="K5" s="75">
        <f>'Data Sheet'!K43</f>
        <v>12514</v>
      </c>
    </row>
    <row r="6" spans="1:11" s="10" customFormat="1">
      <c r="A6" s="10" t="s">
        <v>7</v>
      </c>
      <c r="B6" s="73">
        <f>'Data Sheet'!B50</f>
        <v>3665</v>
      </c>
      <c r="C6" s="73">
        <f>'Data Sheet'!C50</f>
        <v>3535</v>
      </c>
      <c r="D6" s="73">
        <f>'Data Sheet'!D50</f>
        <v>3742</v>
      </c>
      <c r="E6" s="73">
        <f>'Data Sheet'!E50</f>
        <v>3787</v>
      </c>
      <c r="F6" s="73">
        <f>'Data Sheet'!F50</f>
        <v>3689</v>
      </c>
      <c r="G6" s="73">
        <f>'Data Sheet'!G50</f>
        <v>3618</v>
      </c>
      <c r="H6" s="73">
        <f>'Data Sheet'!H50</f>
        <v>3717</v>
      </c>
      <c r="I6" s="73">
        <f>'Data Sheet'!I50</f>
        <v>3782</v>
      </c>
      <c r="J6" s="73">
        <f>'Data Sheet'!J50</f>
        <v>3781</v>
      </c>
      <c r="K6" s="73">
        <f>'Data Sheet'!K50</f>
        <v>3837</v>
      </c>
    </row>
    <row r="7" spans="1:11">
      <c r="A7" t="s">
        <v>8</v>
      </c>
      <c r="B7" s="75">
        <f>'Data Sheet'!B44</f>
        <v>184</v>
      </c>
      <c r="C7" s="75">
        <f>'Data Sheet'!C44</f>
        <v>309</v>
      </c>
      <c r="D7" s="75">
        <f>'Data Sheet'!D44</f>
        <v>209</v>
      </c>
      <c r="E7" s="75">
        <f>'Data Sheet'!E44</f>
        <v>203</v>
      </c>
      <c r="F7" s="75">
        <f>'Data Sheet'!F44</f>
        <v>733</v>
      </c>
      <c r="G7" s="75">
        <f>'Data Sheet'!G44</f>
        <v>149</v>
      </c>
      <c r="H7" s="75">
        <f>'Data Sheet'!H44</f>
        <v>74</v>
      </c>
      <c r="I7" s="75">
        <f>'Data Sheet'!I44</f>
        <v>269</v>
      </c>
      <c r="J7" s="75">
        <f>'Data Sheet'!J44</f>
        <v>4048</v>
      </c>
      <c r="K7" s="75">
        <f>'Data Sheet'!K44</f>
        <v>503</v>
      </c>
    </row>
    <row r="8" spans="1:11">
      <c r="A8" t="s">
        <v>9</v>
      </c>
      <c r="B8" s="75">
        <f>'Data Sheet'!B45</f>
        <v>313</v>
      </c>
      <c r="C8" s="75">
        <f>'Data Sheet'!C45</f>
        <v>320</v>
      </c>
      <c r="D8" s="75">
        <f>'Data Sheet'!D45</f>
        <v>329</v>
      </c>
      <c r="E8" s="75">
        <f>'Data Sheet'!E45</f>
        <v>338</v>
      </c>
      <c r="F8" s="75">
        <f>'Data Sheet'!F45</f>
        <v>318</v>
      </c>
      <c r="G8" s="75">
        <f>'Data Sheet'!G45</f>
        <v>318</v>
      </c>
      <c r="H8" s="75">
        <f>'Data Sheet'!H45</f>
        <v>361</v>
      </c>
      <c r="I8" s="75">
        <f>'Data Sheet'!I45</f>
        <v>322</v>
      </c>
      <c r="J8" s="75">
        <f>'Data Sheet'!J45</f>
        <v>337</v>
      </c>
      <c r="K8" s="75">
        <f>'Data Sheet'!K45</f>
        <v>348</v>
      </c>
    </row>
    <row r="9" spans="1:11">
      <c r="A9" t="s">
        <v>10</v>
      </c>
      <c r="B9" s="75">
        <f>'Data Sheet'!B46</f>
        <v>91</v>
      </c>
      <c r="C9" s="75">
        <f>'Data Sheet'!C46</f>
        <v>105</v>
      </c>
      <c r="D9" s="75">
        <f>'Data Sheet'!D46</f>
        <v>93</v>
      </c>
      <c r="E9" s="75">
        <f>'Data Sheet'!E46</f>
        <v>110</v>
      </c>
      <c r="F9" s="75">
        <f>'Data Sheet'!F46</f>
        <v>109</v>
      </c>
      <c r="G9" s="75">
        <f>'Data Sheet'!G46</f>
        <v>77</v>
      </c>
      <c r="H9" s="75">
        <f>'Data Sheet'!H46</f>
        <v>127</v>
      </c>
      <c r="I9" s="75">
        <f>'Data Sheet'!I46</f>
        <v>124</v>
      </c>
      <c r="J9" s="75">
        <f>'Data Sheet'!J46</f>
        <v>88</v>
      </c>
      <c r="K9" s="75">
        <f>'Data Sheet'!K46</f>
        <v>76</v>
      </c>
    </row>
    <row r="10" spans="1:11">
      <c r="A10" t="s">
        <v>11</v>
      </c>
      <c r="B10" s="75">
        <f>'Data Sheet'!B47</f>
        <v>3445</v>
      </c>
      <c r="C10" s="75">
        <f>'Data Sheet'!C47</f>
        <v>3419</v>
      </c>
      <c r="D10" s="75">
        <f>'Data Sheet'!D47</f>
        <v>3529</v>
      </c>
      <c r="E10" s="75">
        <f>'Data Sheet'!E47</f>
        <v>3542</v>
      </c>
      <c r="F10" s="75">
        <f>'Data Sheet'!F47</f>
        <v>3995</v>
      </c>
      <c r="G10" s="75">
        <f>'Data Sheet'!G47</f>
        <v>3372</v>
      </c>
      <c r="H10" s="75">
        <f>'Data Sheet'!H47</f>
        <v>3303</v>
      </c>
      <c r="I10" s="75">
        <f>'Data Sheet'!I47</f>
        <v>3605</v>
      </c>
      <c r="J10" s="75">
        <f>'Data Sheet'!J47</f>
        <v>7404</v>
      </c>
      <c r="K10" s="75">
        <f>'Data Sheet'!K47</f>
        <v>3916</v>
      </c>
    </row>
    <row r="11" spans="1:11">
      <c r="A11" t="s">
        <v>12</v>
      </c>
      <c r="B11" s="75">
        <f>'Data Sheet'!B48</f>
        <v>937</v>
      </c>
      <c r="C11" s="75">
        <f>'Data Sheet'!C48</f>
        <v>858</v>
      </c>
      <c r="D11" s="75">
        <f>'Data Sheet'!D48</f>
        <v>917</v>
      </c>
      <c r="E11" s="75">
        <f>'Data Sheet'!E48</f>
        <v>947</v>
      </c>
      <c r="F11" s="75">
        <f>'Data Sheet'!F48</f>
        <v>1006</v>
      </c>
      <c r="G11" s="75">
        <f>'Data Sheet'!G48</f>
        <v>897</v>
      </c>
      <c r="H11" s="75">
        <f>'Data Sheet'!H48</f>
        <v>535</v>
      </c>
      <c r="I11" s="75">
        <f>'Data Sheet'!I48</f>
        <v>911</v>
      </c>
      <c r="J11" s="75">
        <f>'Data Sheet'!J48</f>
        <v>801</v>
      </c>
      <c r="K11" s="75">
        <f>'Data Sheet'!K48</f>
        <v>922</v>
      </c>
    </row>
    <row r="12" spans="1:11" s="10" customFormat="1">
      <c r="A12" s="10" t="s">
        <v>13</v>
      </c>
      <c r="B12" s="73">
        <f>'Data Sheet'!B49</f>
        <v>2509</v>
      </c>
      <c r="C12" s="73">
        <f>'Data Sheet'!C49</f>
        <v>2558</v>
      </c>
      <c r="D12" s="73">
        <f>'Data Sheet'!D49</f>
        <v>2610</v>
      </c>
      <c r="E12" s="73">
        <f>'Data Sheet'!E49</f>
        <v>2591</v>
      </c>
      <c r="F12" s="73">
        <f>'Data Sheet'!F49</f>
        <v>2984</v>
      </c>
      <c r="G12" s="73">
        <f>'Data Sheet'!G49</f>
        <v>2464</v>
      </c>
      <c r="H12" s="73">
        <f>'Data Sheet'!H49</f>
        <v>2756</v>
      </c>
      <c r="I12" s="73">
        <f>'Data Sheet'!I49</f>
        <v>2685</v>
      </c>
      <c r="J12" s="73">
        <f>'Data Sheet'!J49</f>
        <v>6607</v>
      </c>
      <c r="K12" s="73">
        <f>'Data Sheet'!K49</f>
        <v>2992</v>
      </c>
    </row>
    <row r="14" spans="1:11" s="10" customFormat="1">
      <c r="A14" s="10" t="s">
        <v>19</v>
      </c>
      <c r="B14" s="85">
        <f>IF(B4&gt;0,B6/B4,"")</f>
        <v>0.23543393075094801</v>
      </c>
      <c r="C14" s="85">
        <f t="shared" ref="C14:K14" si="0">IF(C4&gt;0,C6/C4,"")</f>
        <v>0.23241288625904</v>
      </c>
      <c r="D14" s="85">
        <f t="shared" si="0"/>
        <v>0.23823772840134999</v>
      </c>
      <c r="E14" s="85">
        <f t="shared" si="0"/>
        <v>0.237787266105739</v>
      </c>
      <c r="F14" s="85">
        <f t="shared" si="0"/>
        <v>0.237143224479301</v>
      </c>
      <c r="G14" s="85">
        <f t="shared" si="0"/>
        <v>0.23818301514154</v>
      </c>
      <c r="H14" s="85">
        <f t="shared" si="0"/>
        <v>0.225081748819184</v>
      </c>
      <c r="I14" s="85">
        <f t="shared" si="0"/>
        <v>0.23757773729505599</v>
      </c>
      <c r="J14" s="85">
        <f t="shared" si="0"/>
        <v>0.229973845873122</v>
      </c>
      <c r="K14" s="85">
        <f t="shared" si="0"/>
        <v>0.234664546510917</v>
      </c>
    </row>
    <row r="22" s="86" customFormat="1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zoomScaleNormal="125" workbookViewId="0">
      <pane xSplit="1" ySplit="3" topLeftCell="E4" activePane="bottomRight" state="frozen"/>
      <selection pane="topRight"/>
      <selection pane="bottomLeft"/>
      <selection pane="bottomRight" activeCell="K24" sqref="K24"/>
    </sheetView>
  </sheetViews>
  <sheetFormatPr defaultColWidth="8.77734375" defaultRowHeight="14.4"/>
  <cols>
    <col min="1" max="1" width="22.77734375" customWidth="1"/>
    <col min="2" max="2" width="13.44140625" customWidth="1"/>
    <col min="3" max="11" width="15.44140625" customWidth="1"/>
  </cols>
  <sheetData>
    <row r="1" spans="1:11" s="10" customFormat="1">
      <c r="A1" s="10" t="str">
        <f>'Profit &amp; Loss'!A1</f>
        <v>HINDUSTAN UNILEVER LTD</v>
      </c>
      <c r="E1" t="str">
        <f>UPDATE</f>
        <v/>
      </c>
      <c r="G1"/>
      <c r="J1" s="10" t="s">
        <v>0</v>
      </c>
    </row>
    <row r="2" spans="1:11">
      <c r="G2" s="10"/>
      <c r="H2" s="10"/>
    </row>
    <row r="3" spans="1:11">
      <c r="A3" s="82" t="s">
        <v>1</v>
      </c>
      <c r="B3" s="77">
        <f>'Data Sheet'!B56</f>
        <v>42825</v>
      </c>
      <c r="C3" s="77">
        <f>'Data Sheet'!C56</f>
        <v>43190</v>
      </c>
      <c r="D3" s="77">
        <f>'Data Sheet'!D56</f>
        <v>43555</v>
      </c>
      <c r="E3" s="77">
        <f>'Data Sheet'!E56</f>
        <v>43921</v>
      </c>
      <c r="F3" s="77">
        <f>'Data Sheet'!F56</f>
        <v>44286</v>
      </c>
      <c r="G3" s="77">
        <f>'Data Sheet'!G56</f>
        <v>44651</v>
      </c>
      <c r="H3" s="77">
        <f>'Data Sheet'!H56</f>
        <v>45016</v>
      </c>
      <c r="I3" s="77">
        <f>'Data Sheet'!I56</f>
        <v>45382</v>
      </c>
      <c r="J3" s="77">
        <f>'Data Sheet'!J56</f>
        <v>45747</v>
      </c>
      <c r="K3" s="77">
        <f>'Data Sheet'!K56</f>
        <v>46112</v>
      </c>
    </row>
    <row r="4" spans="1:11">
      <c r="A4" t="s">
        <v>30</v>
      </c>
      <c r="B4" s="83">
        <f>'Data Sheet'!B57</f>
        <v>216</v>
      </c>
      <c r="C4" s="83">
        <f>'Data Sheet'!C57</f>
        <v>216</v>
      </c>
      <c r="D4" s="83">
        <f>'Data Sheet'!D57</f>
        <v>216</v>
      </c>
      <c r="E4" s="83">
        <f>'Data Sheet'!E57</f>
        <v>216</v>
      </c>
      <c r="F4" s="83">
        <f>'Data Sheet'!F57</f>
        <v>235</v>
      </c>
      <c r="G4" s="83">
        <f>'Data Sheet'!G57</f>
        <v>235</v>
      </c>
      <c r="H4" s="83">
        <f>'Data Sheet'!H57</f>
        <v>235</v>
      </c>
      <c r="I4" s="83">
        <f>'Data Sheet'!I57</f>
        <v>235</v>
      </c>
      <c r="J4" s="83">
        <f>'Data Sheet'!J57</f>
        <v>235</v>
      </c>
      <c r="K4" s="83">
        <f>'Data Sheet'!K57</f>
        <v>235</v>
      </c>
    </row>
    <row r="5" spans="1:11">
      <c r="A5" t="s">
        <v>31</v>
      </c>
      <c r="B5" s="83">
        <f>'Data Sheet'!B58</f>
        <v>6528</v>
      </c>
      <c r="C5" s="83">
        <f>'Data Sheet'!C58</f>
        <v>7065</v>
      </c>
      <c r="D5" s="83">
        <f>'Data Sheet'!D58</f>
        <v>7651</v>
      </c>
      <c r="E5" s="83">
        <f>'Data Sheet'!E58</f>
        <v>8013</v>
      </c>
      <c r="F5" s="83">
        <f>'Data Sheet'!F58</f>
        <v>47439</v>
      </c>
      <c r="G5" s="83">
        <f>'Data Sheet'!G58</f>
        <v>48826</v>
      </c>
      <c r="H5" s="83">
        <f>'Data Sheet'!H58</f>
        <v>50069</v>
      </c>
      <c r="I5" s="83">
        <f>'Data Sheet'!I58</f>
        <v>50983</v>
      </c>
      <c r="J5" s="83">
        <f>'Data Sheet'!J58</f>
        <v>49167</v>
      </c>
      <c r="K5" s="83">
        <f>'Data Sheet'!K58</f>
        <v>48504</v>
      </c>
    </row>
    <row r="6" spans="1:11">
      <c r="A6" t="s">
        <v>32</v>
      </c>
      <c r="B6" s="83">
        <f>'Data Sheet'!B59</f>
        <v>277</v>
      </c>
      <c r="C6" s="83">
        <f>'Data Sheet'!C59</f>
        <v>0</v>
      </c>
      <c r="D6" s="83">
        <f>'Data Sheet'!D59</f>
        <v>99</v>
      </c>
      <c r="E6" s="83">
        <f>'Data Sheet'!E59</f>
        <v>0</v>
      </c>
      <c r="F6" s="83">
        <f>'Data Sheet'!F59</f>
        <v>0</v>
      </c>
      <c r="G6" s="83">
        <f>'Data Sheet'!G59</f>
        <v>1043</v>
      </c>
      <c r="H6" s="83">
        <f>'Data Sheet'!H59</f>
        <v>1219</v>
      </c>
      <c r="I6" s="83">
        <f>'Data Sheet'!I59</f>
        <v>1484</v>
      </c>
      <c r="J6" s="83">
        <f>'Data Sheet'!J59</f>
        <v>1648</v>
      </c>
      <c r="K6" s="83">
        <f>'Data Sheet'!K59</f>
        <v>1478</v>
      </c>
    </row>
    <row r="7" spans="1:11">
      <c r="A7" t="s">
        <v>33</v>
      </c>
      <c r="B7" s="83">
        <f>'Data Sheet'!B60</f>
        <v>8685</v>
      </c>
      <c r="C7" s="83">
        <f>'Data Sheet'!C60</f>
        <v>10581</v>
      </c>
      <c r="D7" s="83">
        <f>'Data Sheet'!D60</f>
        <v>10663</v>
      </c>
      <c r="E7" s="83">
        <f>'Data Sheet'!E60</f>
        <v>11924</v>
      </c>
      <c r="F7" s="83">
        <f>'Data Sheet'!F60</f>
        <v>21066</v>
      </c>
      <c r="G7" s="83">
        <f>'Data Sheet'!G60</f>
        <v>20402</v>
      </c>
      <c r="H7" s="83">
        <f>'Data Sheet'!H60</f>
        <v>21554</v>
      </c>
      <c r="I7" s="83">
        <f>'Data Sheet'!I60</f>
        <v>25787</v>
      </c>
      <c r="J7" s="83">
        <f>'Data Sheet'!J60</f>
        <v>28813</v>
      </c>
      <c r="K7" s="83">
        <f>'Data Sheet'!K60</f>
        <v>29535</v>
      </c>
    </row>
    <row r="8" spans="1:11" s="10" customFormat="1">
      <c r="A8" s="10" t="s">
        <v>34</v>
      </c>
      <c r="B8" s="84">
        <f>'Data Sheet'!B61</f>
        <v>15706</v>
      </c>
      <c r="C8" s="84">
        <f>'Data Sheet'!C61</f>
        <v>17862</v>
      </c>
      <c r="D8" s="84">
        <f>'Data Sheet'!D61</f>
        <v>18629</v>
      </c>
      <c r="E8" s="84">
        <f>'Data Sheet'!E61</f>
        <v>20153</v>
      </c>
      <c r="F8" s="84">
        <f>'Data Sheet'!F61</f>
        <v>68740</v>
      </c>
      <c r="G8" s="84">
        <f>'Data Sheet'!G61</f>
        <v>70506</v>
      </c>
      <c r="H8" s="84">
        <f>'Data Sheet'!H61</f>
        <v>73077</v>
      </c>
      <c r="I8" s="84">
        <f>'Data Sheet'!I61</f>
        <v>78489</v>
      </c>
      <c r="J8" s="84">
        <f>'Data Sheet'!J61</f>
        <v>79863</v>
      </c>
      <c r="K8" s="84">
        <f>'Data Sheet'!K61</f>
        <v>79752</v>
      </c>
    </row>
    <row r="9" spans="1:11" s="10" customFormat="1"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1">
      <c r="A10" t="s">
        <v>35</v>
      </c>
      <c r="B10" s="83">
        <f>'Data Sheet'!B62</f>
        <v>4419</v>
      </c>
      <c r="C10" s="83">
        <f>'Data Sheet'!C62</f>
        <v>4528</v>
      </c>
      <c r="D10" s="83">
        <f>'Data Sheet'!D62</f>
        <v>4715</v>
      </c>
      <c r="E10" s="83">
        <f>'Data Sheet'!E62</f>
        <v>5479</v>
      </c>
      <c r="F10" s="83">
        <f>'Data Sheet'!F62</f>
        <v>51443</v>
      </c>
      <c r="G10" s="83">
        <f>'Data Sheet'!G62</f>
        <v>51473</v>
      </c>
      <c r="H10" s="83">
        <f>'Data Sheet'!H62</f>
        <v>52678</v>
      </c>
      <c r="I10" s="83">
        <f>'Data Sheet'!I62</f>
        <v>53744</v>
      </c>
      <c r="J10" s="83">
        <f>'Data Sheet'!J62</f>
        <v>54335</v>
      </c>
      <c r="K10" s="83">
        <f>'Data Sheet'!K62</f>
        <v>57428</v>
      </c>
    </row>
    <row r="11" spans="1:11">
      <c r="A11" t="s">
        <v>36</v>
      </c>
      <c r="B11" s="83">
        <f>'Data Sheet'!B63</f>
        <v>229</v>
      </c>
      <c r="C11" s="83">
        <f>'Data Sheet'!C63</f>
        <v>461</v>
      </c>
      <c r="D11" s="83">
        <f>'Data Sheet'!D63</f>
        <v>406</v>
      </c>
      <c r="E11" s="83">
        <f>'Data Sheet'!E63</f>
        <v>597</v>
      </c>
      <c r="F11" s="83">
        <f>'Data Sheet'!F63</f>
        <v>745</v>
      </c>
      <c r="G11" s="83">
        <f>'Data Sheet'!G63</f>
        <v>1313</v>
      </c>
      <c r="H11" s="83">
        <f>'Data Sheet'!H63</f>
        <v>1132</v>
      </c>
      <c r="I11" s="83">
        <f>'Data Sheet'!I63</f>
        <v>1025</v>
      </c>
      <c r="J11" s="83">
        <f>'Data Sheet'!J63</f>
        <v>1009</v>
      </c>
      <c r="K11" s="83">
        <f>'Data Sheet'!K63</f>
        <v>880</v>
      </c>
    </row>
    <row r="12" spans="1:11">
      <c r="A12" t="s">
        <v>37</v>
      </c>
      <c r="B12" s="83">
        <f>'Data Sheet'!B64</f>
        <v>3794</v>
      </c>
      <c r="C12" s="83">
        <f>'Data Sheet'!C64</f>
        <v>2873</v>
      </c>
      <c r="D12" s="83">
        <f>'Data Sheet'!D64</f>
        <v>2716</v>
      </c>
      <c r="E12" s="83">
        <f>'Data Sheet'!E64</f>
        <v>1255</v>
      </c>
      <c r="F12" s="83">
        <f>'Data Sheet'!F64</f>
        <v>2709</v>
      </c>
      <c r="G12" s="83">
        <f>'Data Sheet'!G64</f>
        <v>3521</v>
      </c>
      <c r="H12" s="83">
        <f>'Data Sheet'!H64</f>
        <v>2882</v>
      </c>
      <c r="I12" s="83">
        <f>'Data Sheet'!I64</f>
        <v>4625</v>
      </c>
      <c r="J12" s="83">
        <f>'Data Sheet'!J64</f>
        <v>3810</v>
      </c>
      <c r="K12" s="83">
        <f>'Data Sheet'!K64</f>
        <v>4359</v>
      </c>
    </row>
    <row r="13" spans="1:11">
      <c r="A13" t="s">
        <v>38</v>
      </c>
      <c r="B13" s="83">
        <f>'Data Sheet'!B65</f>
        <v>7264</v>
      </c>
      <c r="C13" s="83">
        <f>'Data Sheet'!C65</f>
        <v>10000</v>
      </c>
      <c r="D13" s="83">
        <f>'Data Sheet'!D65</f>
        <v>10792</v>
      </c>
      <c r="E13" s="83">
        <f>'Data Sheet'!E65</f>
        <v>12822</v>
      </c>
      <c r="F13" s="83">
        <f>'Data Sheet'!F65</f>
        <v>13843</v>
      </c>
      <c r="G13" s="83">
        <f>'Data Sheet'!G65</f>
        <v>14199</v>
      </c>
      <c r="H13" s="83">
        <f>'Data Sheet'!H65</f>
        <v>16385</v>
      </c>
      <c r="I13" s="83">
        <f>'Data Sheet'!I65</f>
        <v>19095</v>
      </c>
      <c r="J13" s="83">
        <f>'Data Sheet'!J65</f>
        <v>20709</v>
      </c>
      <c r="K13" s="83">
        <f>'Data Sheet'!K65</f>
        <v>17085</v>
      </c>
    </row>
    <row r="14" spans="1:11" s="10" customFormat="1">
      <c r="A14" s="10" t="s">
        <v>34</v>
      </c>
      <c r="B14" s="83">
        <f>'Data Sheet'!B66</f>
        <v>15706</v>
      </c>
      <c r="C14" s="83">
        <f>'Data Sheet'!C66</f>
        <v>17862</v>
      </c>
      <c r="D14" s="83">
        <f>'Data Sheet'!D66</f>
        <v>18629</v>
      </c>
      <c r="E14" s="83">
        <f>'Data Sheet'!E66</f>
        <v>20153</v>
      </c>
      <c r="F14" s="83">
        <f>'Data Sheet'!F66</f>
        <v>68740</v>
      </c>
      <c r="G14" s="83">
        <f>'Data Sheet'!G66</f>
        <v>70506</v>
      </c>
      <c r="H14" s="83">
        <f>'Data Sheet'!H66</f>
        <v>73077</v>
      </c>
      <c r="I14" s="83">
        <f>'Data Sheet'!I66</f>
        <v>78489</v>
      </c>
      <c r="J14" s="83">
        <f>'Data Sheet'!J66</f>
        <v>79863</v>
      </c>
      <c r="K14" s="83">
        <f>'Data Sheet'!K66</f>
        <v>79752</v>
      </c>
    </row>
    <row r="15" spans="1:11">
      <c r="B15" s="75"/>
      <c r="C15" s="75"/>
      <c r="D15" s="75"/>
      <c r="E15" s="75"/>
      <c r="F15" s="75"/>
      <c r="G15" s="75"/>
      <c r="H15" s="75"/>
      <c r="I15" s="75"/>
      <c r="J15" s="75"/>
      <c r="K15" s="75"/>
    </row>
    <row r="16" spans="1:11">
      <c r="A16" t="s">
        <v>39</v>
      </c>
      <c r="B16" s="75">
        <f>B13-B7</f>
        <v>-1421</v>
      </c>
      <c r="C16" s="75">
        <f t="shared" ref="C16:K16" si="0">C13-C7</f>
        <v>-581</v>
      </c>
      <c r="D16" s="75">
        <f t="shared" si="0"/>
        <v>129</v>
      </c>
      <c r="E16" s="75">
        <f t="shared" si="0"/>
        <v>898</v>
      </c>
      <c r="F16" s="75">
        <f t="shared" si="0"/>
        <v>-7223</v>
      </c>
      <c r="G16" s="75">
        <f t="shared" si="0"/>
        <v>-6203</v>
      </c>
      <c r="H16" s="75">
        <f t="shared" si="0"/>
        <v>-5169</v>
      </c>
      <c r="I16" s="75">
        <f t="shared" si="0"/>
        <v>-6692</v>
      </c>
      <c r="J16" s="75">
        <f t="shared" si="0"/>
        <v>-8104</v>
      </c>
      <c r="K16" s="75">
        <f t="shared" si="0"/>
        <v>-12450</v>
      </c>
    </row>
    <row r="17" spans="1:11">
      <c r="A17" t="s">
        <v>40</v>
      </c>
      <c r="B17" s="75">
        <f>'Data Sheet'!B67</f>
        <v>1085</v>
      </c>
      <c r="C17" s="75">
        <f>'Data Sheet'!C67</f>
        <v>1310</v>
      </c>
      <c r="D17" s="75">
        <f>'Data Sheet'!D67</f>
        <v>1816</v>
      </c>
      <c r="E17" s="75">
        <f>'Data Sheet'!E67</f>
        <v>1149</v>
      </c>
      <c r="F17" s="75">
        <f>'Data Sheet'!F67</f>
        <v>1758</v>
      </c>
      <c r="G17" s="75">
        <f>'Data Sheet'!G67</f>
        <v>2236</v>
      </c>
      <c r="H17" s="75">
        <f>'Data Sheet'!H67</f>
        <v>3079</v>
      </c>
      <c r="I17" s="75">
        <f>'Data Sheet'!I67</f>
        <v>2997</v>
      </c>
      <c r="J17" s="75">
        <f>'Data Sheet'!J67</f>
        <v>3819</v>
      </c>
      <c r="K17" s="75">
        <f>'Data Sheet'!K67</f>
        <v>3379</v>
      </c>
    </row>
    <row r="18" spans="1:11">
      <c r="A18" t="s">
        <v>41</v>
      </c>
      <c r="B18" s="75">
        <f>'Data Sheet'!B68</f>
        <v>2541</v>
      </c>
      <c r="C18" s="75">
        <f>'Data Sheet'!C68</f>
        <v>2513</v>
      </c>
      <c r="D18" s="75">
        <f>'Data Sheet'!D68</f>
        <v>2574</v>
      </c>
      <c r="E18" s="75">
        <f>'Data Sheet'!E68</f>
        <v>2767</v>
      </c>
      <c r="F18" s="75">
        <f>'Data Sheet'!F68</f>
        <v>3579</v>
      </c>
      <c r="G18" s="75">
        <f>'Data Sheet'!G68</f>
        <v>4096</v>
      </c>
      <c r="H18" s="75">
        <f>'Data Sheet'!H68</f>
        <v>4251</v>
      </c>
      <c r="I18" s="75">
        <f>'Data Sheet'!I68</f>
        <v>4022</v>
      </c>
      <c r="J18" s="75">
        <f>'Data Sheet'!J68</f>
        <v>4415</v>
      </c>
      <c r="K18" s="75">
        <f>'Data Sheet'!K68</f>
        <v>4789</v>
      </c>
    </row>
    <row r="20" spans="1:11">
      <c r="A20" t="s">
        <v>42</v>
      </c>
      <c r="B20" s="75">
        <f>IF('Profit &amp; Loss'!B4&gt;0,'Balance Sheet'!B17/('Profit &amp; Loss'!B4/365),0)</f>
        <v>11.942132561365399</v>
      </c>
      <c r="C20" s="75">
        <f>IF('Profit &amp; Loss'!C4&gt;0,'Balance Sheet'!C17/('Profit &amp; Loss'!C4/365),0)</f>
        <v>13.4519623013082</v>
      </c>
      <c r="D20" s="75">
        <f>IF('Profit &amp; Loss'!D4&gt;0,'Balance Sheet'!D17/('Profit &amp; Loss'!D4/365),0)</f>
        <v>16.861867209361499</v>
      </c>
      <c r="E20" s="75">
        <f>IF('Profit &amp; Loss'!E4&gt;0,'Balance Sheet'!E17/('Profit &amp; Loss'!E4/365),0)</f>
        <v>10.541814342809699</v>
      </c>
      <c r="F20" s="75">
        <f>IF('Profit &amp; Loss'!F4&gt;0,'Balance Sheet'!F17/('Profit &amp; Loss'!F4/365),0)</f>
        <v>13.644424598111801</v>
      </c>
      <c r="G20" s="75">
        <f>IF('Profit &amp; Loss'!G4&gt;0,'Balance Sheet'!G17/('Profit &amp; Loss'!G4/365),0)</f>
        <v>15.561529954619999</v>
      </c>
      <c r="H20" s="75">
        <f>IF('Profit &amp; Loss'!H4&gt;0,'Balance Sheet'!H17/('Profit &amp; Loss'!H4/365),0)</f>
        <v>18.551254539452</v>
      </c>
      <c r="I20" s="75">
        <f>IF('Profit &amp; Loss'!I4&gt;0,'Balance Sheet'!I17/('Profit &amp; Loss'!I4/365),0)</f>
        <v>17.673274525009699</v>
      </c>
      <c r="J20" s="75">
        <f>IF('Profit &amp; Loss'!J4&gt;0,'Balance Sheet'!J17/('Profit &amp; Loss'!J4/365),0)</f>
        <v>22.0835379667623</v>
      </c>
      <c r="K20" s="75">
        <f>IF('Profit &amp; Loss'!K4&gt;0,'Balance Sheet'!K17/('Profit &amp; Loss'!K4/365),0)</f>
        <v>19.130964199292698</v>
      </c>
    </row>
    <row r="21" spans="1:11">
      <c r="A21" t="s">
        <v>43</v>
      </c>
      <c r="B21" s="75">
        <f>IF('Balance Sheet'!B18&gt;0,'Profit &amp; Loss'!B4/'Balance Sheet'!B18,0)</f>
        <v>13.050767414403801</v>
      </c>
      <c r="C21" s="75">
        <f>IF('Balance Sheet'!C18&gt;0,'Profit &amp; Loss'!C4/'Balance Sheet'!C18,0)</f>
        <v>14.144448865897299</v>
      </c>
      <c r="D21" s="75">
        <f>IF('Balance Sheet'!D18&gt;0,'Profit &amp; Loss'!D4/'Balance Sheet'!D18,0)</f>
        <v>15.271950271950301</v>
      </c>
      <c r="E21" s="75">
        <f>IF('Balance Sheet'!E18&gt;0,'Profit &amp; Loss'!E4/'Balance Sheet'!E18,0)</f>
        <v>14.3776653415251</v>
      </c>
      <c r="F21" s="75">
        <f>IF('Balance Sheet'!F18&gt;0,'Profit &amp; Loss'!F4/'Balance Sheet'!F18,0)</f>
        <v>13.139983235540701</v>
      </c>
      <c r="G21" s="75">
        <f>IF('Balance Sheet'!G18&gt;0,'Profit &amp; Loss'!G4/'Balance Sheet'!G18,0)</f>
        <v>12.80419921875</v>
      </c>
      <c r="H21" s="75">
        <f>IF('Balance Sheet'!H18&gt;0,'Profit &amp; Loss'!H4/'Balance Sheet'!H18,0)</f>
        <v>14.250764525993899</v>
      </c>
      <c r="I21" s="75">
        <f>IF('Balance Sheet'!I18&gt;0,'Profit &amp; Loss'!I4/'Balance Sheet'!I18,0)</f>
        <v>15.389358528095499</v>
      </c>
      <c r="J21" s="75">
        <f>IF('Balance Sheet'!J18&gt;0,'Profit &amp; Loss'!J4/'Balance Sheet'!J18,0)</f>
        <v>14.2969422423556</v>
      </c>
      <c r="K21" s="75">
        <f>IF('Balance Sheet'!K18&gt;0,'Profit &amp; Loss'!K4/'Balance Sheet'!K18,0)</f>
        <v>13.4616830235957</v>
      </c>
    </row>
    <row r="23" spans="1:11" s="10" customFormat="1">
      <c r="A23" s="10" t="s">
        <v>44</v>
      </c>
      <c r="B23" s="85">
        <f>IF(SUM('Balance Sheet'!B4:B5)&gt;0,'Profit &amp; Loss'!B12/SUM('Balance Sheet'!B4:B5),"")</f>
        <v>0.66370106761565795</v>
      </c>
      <c r="C23" s="85">
        <f>IF(SUM('Balance Sheet'!C4:C5)&gt;0,'Profit &amp; Loss'!C12/SUM('Balance Sheet'!C4:C5),"")</f>
        <v>0.71611042439225403</v>
      </c>
      <c r="D23" s="85">
        <f>IF(SUM('Balance Sheet'!D4:D5)&gt;0,'Profit &amp; Loss'!D12/SUM('Balance Sheet'!D4:D5),"")</f>
        <v>0.76954366340409297</v>
      </c>
      <c r="E23" s="85">
        <f>IF(SUM('Balance Sheet'!E4:E5)&gt;0,'Profit &amp; Loss'!E12/SUM('Balance Sheet'!E4:E5),"")</f>
        <v>0.82002673471867804</v>
      </c>
      <c r="F23" s="85">
        <f>IF(SUM('Balance Sheet'!F4:F5)&gt;0,'Profit &amp; Loss'!F12/SUM('Balance Sheet'!F4:F5),"")</f>
        <v>0.167701472500734</v>
      </c>
      <c r="G23" s="85">
        <f>IF(SUM('Balance Sheet'!G4:G5)&gt;0,'Profit &amp; Loss'!G12/SUM('Balance Sheet'!G4:G5),"")</f>
        <v>0.18097878151688701</v>
      </c>
      <c r="H23" s="85">
        <f>IF(SUM('Balance Sheet'!H4:H5)&gt;0,'Profit &amp; Loss'!H12/SUM('Balance Sheet'!H4:H5),"")</f>
        <v>0.201176844783715</v>
      </c>
      <c r="I23" s="85">
        <f>IF(SUM('Balance Sheet'!I4:I5)&gt;0,'Profit &amp; Loss'!I12/SUM('Balance Sheet'!I4:I5),"")</f>
        <v>0.20065211449099901</v>
      </c>
      <c r="J23" s="85">
        <f>IF(SUM('Balance Sheet'!J4:J5)&gt;0,'Profit &amp; Loss'!J12/SUM('Balance Sheet'!J4:J5),"")</f>
        <v>0.21555807457188</v>
      </c>
      <c r="K23" s="85">
        <f>IF(SUM('Balance Sheet'!K4:K5)&gt;0,'Profit &amp; Loss'!K12/SUM('Balance Sheet'!K4:K5),"")</f>
        <v>0.30858244937319201</v>
      </c>
    </row>
    <row r="24" spans="1:11" s="10" customFormat="1">
      <c r="A24" s="10" t="s">
        <v>45</v>
      </c>
      <c r="B24" s="85"/>
      <c r="C24" s="85">
        <f>IF((B4+B5+B6+C4+C5+C6)&gt;0,('Profit &amp; Loss'!C10+'Profit &amp; Loss'!C9)*2/(B4+B5+B6+C4+C5+C6),"")</f>
        <v>1.02531114529436</v>
      </c>
      <c r="D24" s="85">
        <f>IF((C4+C5+C6+D4+D5+D6)&gt;0,('Profit &amp; Loss'!D10+'Profit &amp; Loss'!D9)*2/(C4+C5+C6+D4+D5+D6),"")</f>
        <v>1.1329441857414599</v>
      </c>
      <c r="E24" s="85">
        <f>IF((D4+D5+D6+E4+E5+E6)&gt;0,('Profit &amp; Loss'!E10+'Profit &amp; Loss'!E9)*2/(D4+D5+D6+E4+E5+E6),"")</f>
        <v>1.1464032108675499</v>
      </c>
      <c r="F24" s="85">
        <f>IF((E4+E5+E6+F4+F5+F6)&gt;0,('Profit &amp; Loss'!F10+'Profit &amp; Loss'!F9)*2/(E4+E5+E6+F4+F5+F6),"")</f>
        <v>0.38359300931971502</v>
      </c>
      <c r="G24" s="85">
        <f>IF((F4+F5+F6+G4+G5+G6)&gt;0,('Profit &amp; Loss'!G10+'Profit &amp; Loss'!G9)*2/(F4+F5+F6+G4+G5+G6),"")</f>
        <v>0.24514717012006801</v>
      </c>
      <c r="H24" s="85">
        <f>IF((G4+G5+G6+H4+H5+H6)&gt;0,('Profit &amp; Loss'!H10+'Profit &amp; Loss'!H9)*2/(G4+G5+G6+H4+H5+H6),"")</f>
        <v>0.264850876243518</v>
      </c>
      <c r="I24" s="85">
        <f>IF((H4+H5+H6+I4+I5+I6)&gt;0,('Profit &amp; Loss'!I10+'Profit &amp; Loss'!I9)*2/(H4+H5+H6+I4+I5+I6),"")</f>
        <v>0.27363876229311601</v>
      </c>
      <c r="J24" s="85">
        <f>IF((I4+I5+I6+J4+J5+J6)&gt;0,('Profit &amp; Loss'!J10+'Profit &amp; Loss'!J9)*2/(I4+I5+I6+J4+J5+J6),"")</f>
        <v>0.28548847251137299</v>
      </c>
      <c r="K24" s="85">
        <f>IF((J4+J5+J6+K4+K5+K6)&gt;0,('Profit &amp; Loss'!K10+'Profit &amp; Loss'!K9)*2/(J4+J5+J6+K4+K5+K6),"")</f>
        <v>0.36791847294775198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15" zoomScaleNormal="115" zoomScalePageLayoutView="150" workbookViewId="0">
      <pane xSplit="1" ySplit="3" topLeftCell="E4" activePane="bottomRight" state="frozen"/>
      <selection pane="topRight"/>
      <selection pane="bottomLeft"/>
      <selection pane="bottomRight" activeCell="K5" sqref="K5"/>
    </sheetView>
  </sheetViews>
  <sheetFormatPr defaultColWidth="8.77734375" defaultRowHeight="14.4"/>
  <cols>
    <col min="1" max="1" width="26.77734375" customWidth="1"/>
    <col min="2" max="11" width="13.44140625" customWidth="1"/>
  </cols>
  <sheetData>
    <row r="1" spans="1:11" s="10" customFormat="1">
      <c r="A1" s="10" t="str">
        <f>'Balance Sheet'!A1</f>
        <v>HINDUSTAN UNILEVER LTD</v>
      </c>
      <c r="E1" t="str">
        <f>UPDATE</f>
        <v/>
      </c>
      <c r="F1"/>
      <c r="J1" s="10" t="s">
        <v>0</v>
      </c>
    </row>
    <row r="3" spans="1:11" s="10" customFormat="1">
      <c r="A3" s="82" t="s">
        <v>1</v>
      </c>
      <c r="B3" s="77">
        <f>'Data Sheet'!B81</f>
        <v>42825</v>
      </c>
      <c r="C3" s="77">
        <f>'Data Sheet'!C81</f>
        <v>43190</v>
      </c>
      <c r="D3" s="77">
        <f>'Data Sheet'!D81</f>
        <v>43555</v>
      </c>
      <c r="E3" s="77">
        <f>'Data Sheet'!E81</f>
        <v>43921</v>
      </c>
      <c r="F3" s="77">
        <f>'Data Sheet'!F81</f>
        <v>44286</v>
      </c>
      <c r="G3" s="77">
        <f>'Data Sheet'!G81</f>
        <v>44651</v>
      </c>
      <c r="H3" s="77">
        <f>'Data Sheet'!H81</f>
        <v>45016</v>
      </c>
      <c r="I3" s="77">
        <f>'Data Sheet'!I81</f>
        <v>45382</v>
      </c>
      <c r="J3" s="77">
        <f>'Data Sheet'!J81</f>
        <v>45747</v>
      </c>
      <c r="K3" s="77">
        <f>'Data Sheet'!K81</f>
        <v>46112</v>
      </c>
    </row>
    <row r="4" spans="1:11" s="10" customFormat="1">
      <c r="A4" s="10" t="s">
        <v>46</v>
      </c>
      <c r="B4" s="73">
        <f>'Data Sheet'!B113</f>
        <v>5185</v>
      </c>
      <c r="C4" s="73">
        <f>'Data Sheet'!C113</f>
        <v>6059</v>
      </c>
      <c r="D4" s="73">
        <f>'Data Sheet'!D113</f>
        <v>5800</v>
      </c>
      <c r="E4" s="73">
        <f>'Data Sheet'!E113</f>
        <v>7623</v>
      </c>
      <c r="F4" s="73">
        <f>'Data Sheet'!F113</f>
        <v>9163</v>
      </c>
      <c r="G4" s="73">
        <f>'Data Sheet'!G113</f>
        <v>9048</v>
      </c>
      <c r="H4" s="73">
        <f>'Data Sheet'!H113</f>
        <v>9991</v>
      </c>
      <c r="I4" s="73">
        <f>'Data Sheet'!I113</f>
        <v>15469</v>
      </c>
      <c r="J4" s="73">
        <f>'Data Sheet'!J113</f>
        <v>11886</v>
      </c>
      <c r="K4" s="73">
        <f>'Data Sheet'!K113</f>
        <v>10999</v>
      </c>
    </row>
    <row r="5" spans="1:11">
      <c r="A5" t="s">
        <v>47</v>
      </c>
      <c r="B5" s="75">
        <f>'Data Sheet'!B114</f>
        <v>-1173</v>
      </c>
      <c r="C5" s="75">
        <f>'Data Sheet'!C114</f>
        <v>-1063</v>
      </c>
      <c r="D5" s="75">
        <f>'Data Sheet'!D114</f>
        <v>-438</v>
      </c>
      <c r="E5" s="75">
        <f>'Data Sheet'!E114</f>
        <v>1791</v>
      </c>
      <c r="F5" s="75">
        <f>'Data Sheet'!F114</f>
        <v>-1228</v>
      </c>
      <c r="G5" s="75">
        <f>'Data Sheet'!G114</f>
        <v>-1728</v>
      </c>
      <c r="H5" s="75">
        <f>'Data Sheet'!H114</f>
        <v>-1484</v>
      </c>
      <c r="I5" s="75">
        <f>'Data Sheet'!I114</f>
        <v>-5324</v>
      </c>
      <c r="J5" s="75">
        <f>'Data Sheet'!J114</f>
        <v>6473</v>
      </c>
      <c r="K5" s="75">
        <f>'Data Sheet'!K114</f>
        <v>-3684</v>
      </c>
    </row>
    <row r="6" spans="1:11">
      <c r="A6" t="s">
        <v>48</v>
      </c>
      <c r="B6" s="75">
        <f>'Data Sheet'!B115</f>
        <v>-4214</v>
      </c>
      <c r="C6" s="75">
        <f>'Data Sheet'!C115</f>
        <v>-4975</v>
      </c>
      <c r="D6" s="75">
        <f>'Data Sheet'!D115</f>
        <v>-5390</v>
      </c>
      <c r="E6" s="75">
        <f>'Data Sheet'!E115</f>
        <v>-6819</v>
      </c>
      <c r="F6" s="75">
        <f>'Data Sheet'!F115</f>
        <v>-9309</v>
      </c>
      <c r="G6" s="75">
        <f>'Data Sheet'!G115</f>
        <v>-8015</v>
      </c>
      <c r="H6" s="75">
        <f>'Data Sheet'!H115</f>
        <v>-8953</v>
      </c>
      <c r="I6" s="75">
        <f>'Data Sheet'!I115</f>
        <v>-10034</v>
      </c>
      <c r="J6" s="75">
        <f>'Data Sheet'!J115</f>
        <v>-13101</v>
      </c>
      <c r="K6" s="75">
        <f>'Data Sheet'!K115</f>
        <v>-10810</v>
      </c>
    </row>
    <row r="7" spans="1:11" s="10" customFormat="1">
      <c r="A7" s="10" t="s">
        <v>49</v>
      </c>
      <c r="B7" s="73">
        <f>'Data Sheet'!B116</f>
        <v>-202</v>
      </c>
      <c r="C7" s="73">
        <f>'Data Sheet'!C116</f>
        <v>21</v>
      </c>
      <c r="D7" s="73">
        <f>'Data Sheet'!D116</f>
        <v>-28</v>
      </c>
      <c r="E7" s="73">
        <f>'Data Sheet'!E116</f>
        <v>2595</v>
      </c>
      <c r="F7" s="73">
        <f>'Data Sheet'!F116</f>
        <v>-1374</v>
      </c>
      <c r="G7" s="73">
        <f>'Data Sheet'!G116</f>
        <v>-695</v>
      </c>
      <c r="H7" s="73">
        <f>'Data Sheet'!H116</f>
        <v>-446</v>
      </c>
      <c r="I7" s="73">
        <f>'Data Sheet'!I116</f>
        <v>111</v>
      </c>
      <c r="J7" s="73">
        <f>'Data Sheet'!J116</f>
        <v>5258</v>
      </c>
      <c r="K7" s="73">
        <f>'Data Sheet'!K116</f>
        <v>-3495</v>
      </c>
    </row>
    <row r="8" spans="1:11">
      <c r="B8" s="75"/>
      <c r="C8" s="75"/>
      <c r="D8" s="75"/>
      <c r="E8" s="75"/>
      <c r="F8" s="75"/>
      <c r="G8" s="75"/>
      <c r="H8" s="75"/>
      <c r="I8" s="75"/>
      <c r="J8" s="75"/>
      <c r="K8" s="75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/>
  <cols>
    <col min="1" max="1" width="8.77734375" style="10"/>
    <col min="2" max="2" width="10.44140625" customWidth="1"/>
    <col min="3" max="3" width="13.33203125" style="51" customWidth="1"/>
    <col min="6" max="6" width="6.77734375" customWidth="1"/>
  </cols>
  <sheetData>
    <row r="1" spans="1:7" ht="21">
      <c r="A1" s="79" t="s">
        <v>50</v>
      </c>
    </row>
    <row r="3" spans="1:7">
      <c r="A3" s="10" t="s">
        <v>51</v>
      </c>
    </row>
    <row r="4" spans="1:7">
      <c r="B4" t="s">
        <v>52</v>
      </c>
    </row>
    <row r="5" spans="1:7">
      <c r="B5" t="s">
        <v>53</v>
      </c>
    </row>
    <row r="7" spans="1:7">
      <c r="A7" s="10" t="s">
        <v>54</v>
      </c>
    </row>
    <row r="8" spans="1:7">
      <c r="B8" t="s">
        <v>55</v>
      </c>
      <c r="C8" s="80" t="s">
        <v>56</v>
      </c>
    </row>
    <row r="10" spans="1:7">
      <c r="A10" s="10" t="s">
        <v>57</v>
      </c>
    </row>
    <row r="11" spans="1:7">
      <c r="B11" t="s">
        <v>58</v>
      </c>
    </row>
    <row r="14" spans="1:7">
      <c r="A14" s="10" t="s">
        <v>59</v>
      </c>
    </row>
    <row r="15" spans="1:7">
      <c r="B15" t="s">
        <v>60</v>
      </c>
    </row>
    <row r="16" spans="1:7">
      <c r="B16" t="s">
        <v>61</v>
      </c>
      <c r="G16" s="81"/>
    </row>
  </sheetData>
  <hyperlinks>
    <hyperlink ref="C8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124"/>
  <sheetViews>
    <sheetView zoomScale="115" zoomScaleNormal="115" zoomScalePageLayoutView="120" workbookViewId="0">
      <pane xSplit="1" ySplit="1" topLeftCell="B2" activePane="bottomRight" state="frozen"/>
      <selection pane="topRight"/>
      <selection pane="bottomLeft"/>
      <selection pane="bottomRight" activeCell="K121" sqref="K121"/>
    </sheetView>
  </sheetViews>
  <sheetFormatPr defaultColWidth="8.77734375" defaultRowHeight="14.4"/>
  <cols>
    <col min="1" max="1" width="27.6640625" style="75" customWidth="1"/>
    <col min="2" max="11" width="13.44140625" style="75" customWidth="1"/>
    <col min="12" max="16384" width="8.77734375" style="75"/>
  </cols>
  <sheetData>
    <row r="1" spans="1:11" s="73" customFormat="1">
      <c r="A1" s="73" t="s">
        <v>62</v>
      </c>
      <c r="B1" s="73" t="s">
        <v>63</v>
      </c>
      <c r="E1" s="94" t="str">
        <f>IF(B2&lt;&gt;B3,"A NEW VERSION OF THE WORKSHEET IS AVAILABLE","")</f>
        <v/>
      </c>
      <c r="F1" s="94"/>
      <c r="G1" s="94"/>
      <c r="H1" s="94"/>
      <c r="I1" s="94"/>
      <c r="J1" s="94"/>
      <c r="K1" s="94"/>
    </row>
    <row r="2" spans="1:11">
      <c r="A2" s="73" t="s">
        <v>64</v>
      </c>
      <c r="B2" s="75">
        <v>2.1</v>
      </c>
      <c r="E2" s="95" t="s">
        <v>65</v>
      </c>
      <c r="F2" s="95"/>
      <c r="G2" s="95"/>
      <c r="H2" s="95"/>
      <c r="I2" s="95"/>
      <c r="J2" s="95"/>
      <c r="K2" s="95"/>
    </row>
    <row r="3" spans="1:11">
      <c r="A3" s="73" t="s">
        <v>66</v>
      </c>
      <c r="B3" s="75">
        <v>2.1</v>
      </c>
    </row>
    <row r="4" spans="1:11">
      <c r="A4" s="73"/>
    </row>
    <row r="5" spans="1:11">
      <c r="A5" s="73" t="s">
        <v>67</v>
      </c>
    </row>
    <row r="6" spans="1:11">
      <c r="A6" s="75" t="s">
        <v>68</v>
      </c>
      <c r="B6" s="75">
        <f>IF(B9&gt;0,B9/B8,0)</f>
        <v>235.129850508544</v>
      </c>
    </row>
    <row r="7" spans="1:11">
      <c r="A7" s="75" t="s">
        <v>69</v>
      </c>
      <c r="B7">
        <v>1</v>
      </c>
    </row>
    <row r="8" spans="1:11">
      <c r="A8" s="75" t="s">
        <v>70</v>
      </c>
      <c r="B8">
        <v>2197.4499999999998</v>
      </c>
    </row>
    <row r="9" spans="1:11">
      <c r="A9" s="75" t="s">
        <v>71</v>
      </c>
      <c r="B9">
        <v>516686.09</v>
      </c>
    </row>
    <row r="15" spans="1:11">
      <c r="A15" s="73" t="s">
        <v>72</v>
      </c>
    </row>
    <row r="16" spans="1:11" s="74" customFormat="1">
      <c r="A16" s="76" t="s">
        <v>73</v>
      </c>
      <c r="B16" s="77">
        <v>42825</v>
      </c>
      <c r="C16" s="77">
        <v>43190</v>
      </c>
      <c r="D16" s="77">
        <v>43555</v>
      </c>
      <c r="E16" s="77">
        <v>43921</v>
      </c>
      <c r="F16" s="77">
        <v>44286</v>
      </c>
      <c r="G16" s="77">
        <v>44651</v>
      </c>
      <c r="H16" s="77">
        <v>45016</v>
      </c>
      <c r="I16" s="77">
        <v>45382</v>
      </c>
      <c r="J16" s="77">
        <v>45747</v>
      </c>
      <c r="K16" s="77">
        <v>46112</v>
      </c>
    </row>
    <row r="17" spans="1:11">
      <c r="A17" s="75" t="s">
        <v>5</v>
      </c>
      <c r="B17">
        <v>33162</v>
      </c>
      <c r="C17">
        <v>35545</v>
      </c>
      <c r="D17">
        <v>39310</v>
      </c>
      <c r="E17">
        <v>39783</v>
      </c>
      <c r="F17">
        <v>47028</v>
      </c>
      <c r="G17">
        <v>52446</v>
      </c>
      <c r="H17">
        <v>60580</v>
      </c>
      <c r="I17">
        <v>61896</v>
      </c>
      <c r="J17">
        <v>63121</v>
      </c>
      <c r="K17">
        <v>64468</v>
      </c>
    </row>
    <row r="18" spans="1:11">
      <c r="A18" s="75" t="s">
        <v>74</v>
      </c>
      <c r="B18">
        <v>13606</v>
      </c>
      <c r="C18">
        <v>14233</v>
      </c>
      <c r="D18">
        <v>15845</v>
      </c>
      <c r="E18">
        <v>15697</v>
      </c>
      <c r="F18">
        <v>20141</v>
      </c>
      <c r="G18">
        <v>22871</v>
      </c>
      <c r="H18">
        <v>28427</v>
      </c>
      <c r="I18">
        <v>26822</v>
      </c>
      <c r="J18">
        <v>27344</v>
      </c>
      <c r="K18">
        <v>32094</v>
      </c>
    </row>
    <row r="19" spans="1:11">
      <c r="A19" s="75" t="s">
        <v>75</v>
      </c>
      <c r="B19">
        <v>-144</v>
      </c>
      <c r="C19">
        <v>72</v>
      </c>
      <c r="D19">
        <v>-12</v>
      </c>
      <c r="E19">
        <v>108</v>
      </c>
      <c r="F19">
        <v>405</v>
      </c>
      <c r="G19">
        <v>22</v>
      </c>
      <c r="H19">
        <v>75</v>
      </c>
      <c r="I19">
        <v>11</v>
      </c>
      <c r="J19">
        <v>153</v>
      </c>
      <c r="K19">
        <v>429</v>
      </c>
    </row>
    <row r="20" spans="1:11">
      <c r="A20" s="75" t="s">
        <v>76</v>
      </c>
      <c r="B20">
        <v>295</v>
      </c>
      <c r="C20">
        <v>295</v>
      </c>
      <c r="D20">
        <v>308</v>
      </c>
      <c r="E20">
        <v>299</v>
      </c>
      <c r="F20">
        <v>339</v>
      </c>
      <c r="G20">
        <v>318</v>
      </c>
      <c r="H20">
        <v>384</v>
      </c>
      <c r="I20">
        <v>446</v>
      </c>
      <c r="J20">
        <v>427</v>
      </c>
    </row>
    <row r="21" spans="1:11">
      <c r="A21" s="75" t="s">
        <v>77</v>
      </c>
      <c r="B21">
        <v>2887</v>
      </c>
      <c r="C21">
        <v>2998</v>
      </c>
      <c r="D21">
        <v>3041</v>
      </c>
      <c r="E21">
        <v>2906</v>
      </c>
      <c r="F21">
        <v>2868</v>
      </c>
      <c r="G21">
        <v>3354</v>
      </c>
      <c r="H21">
        <v>3791</v>
      </c>
      <c r="I21">
        <v>3385</v>
      </c>
      <c r="J21">
        <v>3834</v>
      </c>
    </row>
    <row r="22" spans="1:11">
      <c r="A22" s="75" t="s">
        <v>78</v>
      </c>
      <c r="B22">
        <v>1743</v>
      </c>
      <c r="C22">
        <v>1860</v>
      </c>
      <c r="D22">
        <v>1875</v>
      </c>
      <c r="E22">
        <v>1820</v>
      </c>
      <c r="F22">
        <v>2358</v>
      </c>
      <c r="G22">
        <v>2545</v>
      </c>
      <c r="H22">
        <v>2854</v>
      </c>
      <c r="I22">
        <v>3009</v>
      </c>
      <c r="J22">
        <v>3077</v>
      </c>
      <c r="K22">
        <v>3175</v>
      </c>
    </row>
    <row r="23" spans="1:11">
      <c r="A23" s="75" t="s">
        <v>79</v>
      </c>
      <c r="B23">
        <v>6689</v>
      </c>
      <c r="C23">
        <v>7252</v>
      </c>
      <c r="D23">
        <v>7796</v>
      </c>
      <c r="E23">
        <v>7620</v>
      </c>
      <c r="F23">
        <v>7906</v>
      </c>
      <c r="G23">
        <v>8164</v>
      </c>
      <c r="H23">
        <v>8785</v>
      </c>
      <c r="I23">
        <v>10780</v>
      </c>
      <c r="J23">
        <v>10693</v>
      </c>
      <c r="K23">
        <v>6261</v>
      </c>
    </row>
    <row r="24" spans="1:11">
      <c r="A24" s="75" t="s">
        <v>80</v>
      </c>
      <c r="B24">
        <v>1470</v>
      </c>
      <c r="C24">
        <v>1480</v>
      </c>
      <c r="D24">
        <v>1553</v>
      </c>
      <c r="E24">
        <v>1688</v>
      </c>
      <c r="F24">
        <v>2195</v>
      </c>
      <c r="G24">
        <v>2359</v>
      </c>
      <c r="H24">
        <v>2267</v>
      </c>
      <c r="I24">
        <v>2806</v>
      </c>
      <c r="J24">
        <v>3056</v>
      </c>
      <c r="K24">
        <v>8328</v>
      </c>
    </row>
    <row r="25" spans="1:11">
      <c r="A25" s="75" t="s">
        <v>8</v>
      </c>
      <c r="B25">
        <v>606</v>
      </c>
      <c r="C25">
        <v>353</v>
      </c>
      <c r="D25">
        <v>322</v>
      </c>
      <c r="E25">
        <v>424</v>
      </c>
      <c r="F25">
        <v>170</v>
      </c>
      <c r="G25">
        <v>219</v>
      </c>
      <c r="H25">
        <v>448</v>
      </c>
      <c r="I25">
        <v>817</v>
      </c>
      <c r="J25">
        <v>1322</v>
      </c>
      <c r="K25">
        <v>4923</v>
      </c>
    </row>
    <row r="26" spans="1:11">
      <c r="A26" s="75" t="s">
        <v>9</v>
      </c>
      <c r="B26">
        <v>432</v>
      </c>
      <c r="C26">
        <v>520</v>
      </c>
      <c r="D26">
        <v>565</v>
      </c>
      <c r="E26">
        <v>1002</v>
      </c>
      <c r="F26">
        <v>1074</v>
      </c>
      <c r="G26">
        <v>1091</v>
      </c>
      <c r="H26">
        <v>1137</v>
      </c>
      <c r="I26">
        <v>1216</v>
      </c>
      <c r="J26">
        <v>1355</v>
      </c>
      <c r="K26">
        <v>1333</v>
      </c>
    </row>
    <row r="27" spans="1:11">
      <c r="A27" s="75" t="s">
        <v>10</v>
      </c>
      <c r="B27">
        <v>35</v>
      </c>
      <c r="C27">
        <v>26</v>
      </c>
      <c r="D27">
        <v>33</v>
      </c>
      <c r="E27">
        <v>118</v>
      </c>
      <c r="F27">
        <v>117</v>
      </c>
      <c r="G27">
        <v>106</v>
      </c>
      <c r="H27">
        <v>114</v>
      </c>
      <c r="I27">
        <v>334</v>
      </c>
      <c r="J27">
        <v>395</v>
      </c>
      <c r="K27">
        <v>410</v>
      </c>
    </row>
    <row r="28" spans="1:11">
      <c r="A28" s="75" t="s">
        <v>11</v>
      </c>
      <c r="B28">
        <v>6467</v>
      </c>
      <c r="C28">
        <v>7306</v>
      </c>
      <c r="D28">
        <v>8604</v>
      </c>
      <c r="E28">
        <v>9165</v>
      </c>
      <c r="F28">
        <v>10605</v>
      </c>
      <c r="G28">
        <v>11879</v>
      </c>
      <c r="H28">
        <v>13344</v>
      </c>
      <c r="I28">
        <v>13926</v>
      </c>
      <c r="J28">
        <v>14415</v>
      </c>
      <c r="K28">
        <v>18219</v>
      </c>
    </row>
    <row r="29" spans="1:11">
      <c r="A29" s="75" t="s">
        <v>12</v>
      </c>
      <c r="B29">
        <v>1977</v>
      </c>
      <c r="C29">
        <v>2079</v>
      </c>
      <c r="D29">
        <v>2544</v>
      </c>
      <c r="E29">
        <v>2409</v>
      </c>
      <c r="F29">
        <v>2606</v>
      </c>
      <c r="G29">
        <v>2987</v>
      </c>
      <c r="H29">
        <v>3201</v>
      </c>
      <c r="I29">
        <v>3644</v>
      </c>
      <c r="J29">
        <v>3744</v>
      </c>
      <c r="K29">
        <v>3160</v>
      </c>
    </row>
    <row r="30" spans="1:11">
      <c r="A30" s="75" t="s">
        <v>13</v>
      </c>
      <c r="B30">
        <v>4476</v>
      </c>
      <c r="C30">
        <v>5214</v>
      </c>
      <c r="D30">
        <v>6054</v>
      </c>
      <c r="E30">
        <v>6748</v>
      </c>
      <c r="F30">
        <v>7995</v>
      </c>
      <c r="G30">
        <v>8879</v>
      </c>
      <c r="H30">
        <v>10120</v>
      </c>
      <c r="I30">
        <v>10277</v>
      </c>
      <c r="J30">
        <v>10649</v>
      </c>
      <c r="K30">
        <v>15040</v>
      </c>
    </row>
    <row r="31" spans="1:11">
      <c r="A31" s="75" t="s">
        <v>81</v>
      </c>
      <c r="B31">
        <v>3672</v>
      </c>
      <c r="C31">
        <v>4320</v>
      </c>
      <c r="D31">
        <v>4752</v>
      </c>
      <c r="E31">
        <v>5400</v>
      </c>
      <c r="F31">
        <v>9517.5</v>
      </c>
      <c r="G31">
        <v>7990</v>
      </c>
      <c r="H31">
        <v>9165</v>
      </c>
      <c r="I31">
        <v>9870</v>
      </c>
      <c r="J31">
        <v>12455</v>
      </c>
      <c r="K31">
        <v>9635</v>
      </c>
    </row>
    <row r="32" spans="1:11">
      <c r="A32" s="75" t="s">
        <v>82</v>
      </c>
      <c r="B32" s="75">
        <f>B28+B27+B26</f>
        <v>6934</v>
      </c>
      <c r="C32" s="75">
        <f t="shared" ref="C32:K32" si="0">C28+C27+C26</f>
        <v>7852</v>
      </c>
      <c r="D32" s="75">
        <f t="shared" si="0"/>
        <v>9202</v>
      </c>
      <c r="E32" s="75">
        <f t="shared" si="0"/>
        <v>10285</v>
      </c>
      <c r="F32" s="75">
        <f t="shared" si="0"/>
        <v>11796</v>
      </c>
      <c r="G32" s="75">
        <f t="shared" si="0"/>
        <v>13076</v>
      </c>
      <c r="H32" s="75">
        <f t="shared" si="0"/>
        <v>14595</v>
      </c>
      <c r="I32" s="75">
        <f t="shared" si="0"/>
        <v>15476</v>
      </c>
      <c r="J32" s="75">
        <f t="shared" si="0"/>
        <v>16165</v>
      </c>
      <c r="K32" s="75">
        <f t="shared" si="0"/>
        <v>19962</v>
      </c>
    </row>
    <row r="33" spans="1:11">
      <c r="A33" s="75" t="s">
        <v>83</v>
      </c>
      <c r="B33" s="75">
        <f>B28+B27</f>
        <v>6502</v>
      </c>
      <c r="C33" s="75">
        <f t="shared" ref="C33:K33" si="1">C28+C27</f>
        <v>7332</v>
      </c>
      <c r="D33" s="75">
        <f t="shared" si="1"/>
        <v>8637</v>
      </c>
      <c r="E33" s="75">
        <f t="shared" si="1"/>
        <v>9283</v>
      </c>
      <c r="F33" s="75">
        <f t="shared" si="1"/>
        <v>10722</v>
      </c>
      <c r="G33" s="75">
        <f t="shared" si="1"/>
        <v>11985</v>
      </c>
      <c r="H33" s="75">
        <f t="shared" si="1"/>
        <v>13458</v>
      </c>
      <c r="I33" s="75">
        <f t="shared" si="1"/>
        <v>14260</v>
      </c>
      <c r="J33" s="75">
        <f t="shared" si="1"/>
        <v>14810</v>
      </c>
      <c r="K33" s="75">
        <f t="shared" si="1"/>
        <v>18629</v>
      </c>
    </row>
    <row r="40" spans="1:11">
      <c r="A40" s="73" t="s">
        <v>84</v>
      </c>
    </row>
    <row r="41" spans="1:11" s="74" customFormat="1">
      <c r="A41" s="76" t="s">
        <v>73</v>
      </c>
      <c r="B41" s="77">
        <v>45291</v>
      </c>
      <c r="C41" s="77">
        <v>45382</v>
      </c>
      <c r="D41" s="77">
        <v>45473</v>
      </c>
      <c r="E41" s="77">
        <v>45565</v>
      </c>
      <c r="F41" s="77">
        <v>45657</v>
      </c>
      <c r="G41" s="77">
        <v>45747</v>
      </c>
      <c r="H41" s="77">
        <v>45838</v>
      </c>
      <c r="I41" s="77">
        <v>45930</v>
      </c>
      <c r="J41" s="77">
        <v>46022</v>
      </c>
      <c r="K41" s="77">
        <v>46112</v>
      </c>
    </row>
    <row r="42" spans="1:11">
      <c r="A42" s="75" t="s">
        <v>5</v>
      </c>
      <c r="B42">
        <v>15567</v>
      </c>
      <c r="C42">
        <v>15210</v>
      </c>
      <c r="D42">
        <v>15707</v>
      </c>
      <c r="E42">
        <v>15926</v>
      </c>
      <c r="F42">
        <v>15556</v>
      </c>
      <c r="G42">
        <v>15190</v>
      </c>
      <c r="H42">
        <v>16514</v>
      </c>
      <c r="I42">
        <v>15919</v>
      </c>
      <c r="J42">
        <v>16441</v>
      </c>
      <c r="K42">
        <v>16351</v>
      </c>
    </row>
    <row r="43" spans="1:11">
      <c r="A43" s="75" t="s">
        <v>6</v>
      </c>
      <c r="B43">
        <v>11902</v>
      </c>
      <c r="C43">
        <v>11675</v>
      </c>
      <c r="D43">
        <v>11965</v>
      </c>
      <c r="E43">
        <v>12139</v>
      </c>
      <c r="F43">
        <v>11867</v>
      </c>
      <c r="G43">
        <v>11572</v>
      </c>
      <c r="H43">
        <v>12797</v>
      </c>
      <c r="I43">
        <v>12137</v>
      </c>
      <c r="J43">
        <v>12660</v>
      </c>
      <c r="K43">
        <v>12514</v>
      </c>
    </row>
    <row r="44" spans="1:11">
      <c r="A44" s="75" t="s">
        <v>8</v>
      </c>
      <c r="B44">
        <v>184</v>
      </c>
      <c r="C44">
        <v>309</v>
      </c>
      <c r="D44">
        <v>209</v>
      </c>
      <c r="E44">
        <v>203</v>
      </c>
      <c r="F44">
        <v>733</v>
      </c>
      <c r="G44">
        <v>149</v>
      </c>
      <c r="H44">
        <v>74</v>
      </c>
      <c r="I44">
        <v>269</v>
      </c>
      <c r="J44">
        <v>4048</v>
      </c>
      <c r="K44">
        <v>503</v>
      </c>
    </row>
    <row r="45" spans="1:11">
      <c r="A45" s="75" t="s">
        <v>9</v>
      </c>
      <c r="B45">
        <v>313</v>
      </c>
      <c r="C45">
        <v>320</v>
      </c>
      <c r="D45">
        <v>329</v>
      </c>
      <c r="E45">
        <v>338</v>
      </c>
      <c r="F45">
        <v>318</v>
      </c>
      <c r="G45">
        <v>318</v>
      </c>
      <c r="H45">
        <v>361</v>
      </c>
      <c r="I45">
        <v>322</v>
      </c>
      <c r="J45">
        <v>337</v>
      </c>
      <c r="K45">
        <v>348</v>
      </c>
    </row>
    <row r="46" spans="1:11">
      <c r="A46" s="75" t="s">
        <v>10</v>
      </c>
      <c r="B46">
        <v>91</v>
      </c>
      <c r="C46">
        <v>105</v>
      </c>
      <c r="D46">
        <v>93</v>
      </c>
      <c r="E46">
        <v>110</v>
      </c>
      <c r="F46">
        <v>109</v>
      </c>
      <c r="G46">
        <v>77</v>
      </c>
      <c r="H46">
        <v>127</v>
      </c>
      <c r="I46">
        <v>124</v>
      </c>
      <c r="J46">
        <v>88</v>
      </c>
      <c r="K46">
        <v>76</v>
      </c>
    </row>
    <row r="47" spans="1:11">
      <c r="A47" s="75" t="s">
        <v>11</v>
      </c>
      <c r="B47">
        <v>3445</v>
      </c>
      <c r="C47">
        <v>3419</v>
      </c>
      <c r="D47">
        <v>3529</v>
      </c>
      <c r="E47">
        <v>3542</v>
      </c>
      <c r="F47">
        <v>3995</v>
      </c>
      <c r="G47">
        <v>3372</v>
      </c>
      <c r="H47">
        <v>3303</v>
      </c>
      <c r="I47">
        <v>3605</v>
      </c>
      <c r="J47">
        <v>7404</v>
      </c>
      <c r="K47">
        <v>3916</v>
      </c>
    </row>
    <row r="48" spans="1:11">
      <c r="A48" s="75" t="s">
        <v>12</v>
      </c>
      <c r="B48">
        <v>937</v>
      </c>
      <c r="C48">
        <v>858</v>
      </c>
      <c r="D48">
        <v>917</v>
      </c>
      <c r="E48">
        <v>947</v>
      </c>
      <c r="F48">
        <v>1006</v>
      </c>
      <c r="G48">
        <v>897</v>
      </c>
      <c r="H48">
        <v>535</v>
      </c>
      <c r="I48">
        <v>911</v>
      </c>
      <c r="J48">
        <v>801</v>
      </c>
      <c r="K48">
        <v>922</v>
      </c>
    </row>
    <row r="49" spans="1:11">
      <c r="A49" s="75" t="s">
        <v>13</v>
      </c>
      <c r="B49">
        <v>2509</v>
      </c>
      <c r="C49">
        <v>2558</v>
      </c>
      <c r="D49">
        <v>2610</v>
      </c>
      <c r="E49">
        <v>2591</v>
      </c>
      <c r="F49">
        <v>2984</v>
      </c>
      <c r="G49">
        <v>2464</v>
      </c>
      <c r="H49">
        <v>2756</v>
      </c>
      <c r="I49">
        <v>2685</v>
      </c>
      <c r="J49">
        <v>6607</v>
      </c>
      <c r="K49">
        <v>2992</v>
      </c>
    </row>
    <row r="50" spans="1:11">
      <c r="A50" s="75" t="s">
        <v>7</v>
      </c>
      <c r="B50">
        <v>3665</v>
      </c>
      <c r="C50">
        <v>3535</v>
      </c>
      <c r="D50">
        <v>3742</v>
      </c>
      <c r="E50">
        <v>3787</v>
      </c>
      <c r="F50">
        <v>3689</v>
      </c>
      <c r="G50">
        <v>3618</v>
      </c>
      <c r="H50">
        <v>3717</v>
      </c>
      <c r="I50">
        <v>3782</v>
      </c>
      <c r="J50">
        <v>3781</v>
      </c>
      <c r="K50">
        <v>3837</v>
      </c>
    </row>
    <row r="55" spans="1:11">
      <c r="A55" s="73" t="s">
        <v>85</v>
      </c>
    </row>
    <row r="56" spans="1:11" s="74" customFormat="1">
      <c r="A56" s="76" t="s">
        <v>73</v>
      </c>
      <c r="B56" s="77">
        <v>42825</v>
      </c>
      <c r="C56" s="77">
        <v>43190</v>
      </c>
      <c r="D56" s="77">
        <v>43555</v>
      </c>
      <c r="E56" s="77">
        <v>43921</v>
      </c>
      <c r="F56" s="77">
        <v>44286</v>
      </c>
      <c r="G56" s="77">
        <v>44651</v>
      </c>
      <c r="H56" s="77">
        <v>45016</v>
      </c>
      <c r="I56" s="77">
        <v>45382</v>
      </c>
      <c r="J56" s="77">
        <v>45747</v>
      </c>
      <c r="K56" s="77">
        <v>46112</v>
      </c>
    </row>
    <row r="57" spans="1:11">
      <c r="A57" s="75" t="s">
        <v>30</v>
      </c>
      <c r="B57">
        <v>216</v>
      </c>
      <c r="C57">
        <v>216</v>
      </c>
      <c r="D57">
        <v>216</v>
      </c>
      <c r="E57">
        <v>216</v>
      </c>
      <c r="F57">
        <v>235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spans="1:11">
      <c r="A58" s="75" t="s">
        <v>31</v>
      </c>
      <c r="B58">
        <v>6528</v>
      </c>
      <c r="C58">
        <v>7065</v>
      </c>
      <c r="D58">
        <v>7651</v>
      </c>
      <c r="E58">
        <v>8013</v>
      </c>
      <c r="F58">
        <v>47439</v>
      </c>
      <c r="G58">
        <v>48826</v>
      </c>
      <c r="H58">
        <v>50069</v>
      </c>
      <c r="I58">
        <v>50983</v>
      </c>
      <c r="J58">
        <v>49167</v>
      </c>
      <c r="K58">
        <v>48504</v>
      </c>
    </row>
    <row r="59" spans="1:11">
      <c r="A59" s="75" t="s">
        <v>32</v>
      </c>
      <c r="B59">
        <v>277</v>
      </c>
      <c r="D59">
        <v>99</v>
      </c>
      <c r="G59">
        <v>1043</v>
      </c>
      <c r="H59">
        <v>1219</v>
      </c>
      <c r="I59">
        <v>1484</v>
      </c>
      <c r="J59">
        <v>1648</v>
      </c>
      <c r="K59">
        <v>1478</v>
      </c>
    </row>
    <row r="60" spans="1:11">
      <c r="A60" s="75" t="s">
        <v>33</v>
      </c>
      <c r="B60">
        <v>8685</v>
      </c>
      <c r="C60">
        <v>10581</v>
      </c>
      <c r="D60">
        <v>10663</v>
      </c>
      <c r="E60">
        <v>11924</v>
      </c>
      <c r="F60">
        <v>21066</v>
      </c>
      <c r="G60">
        <v>20402</v>
      </c>
      <c r="H60">
        <v>21554</v>
      </c>
      <c r="I60">
        <v>25787</v>
      </c>
      <c r="J60">
        <v>28813</v>
      </c>
      <c r="K60">
        <v>29535</v>
      </c>
    </row>
    <row r="61" spans="1:11" s="73" customFormat="1">
      <c r="A61" s="73" t="s">
        <v>34</v>
      </c>
      <c r="B61">
        <v>15706</v>
      </c>
      <c r="C61">
        <v>17862</v>
      </c>
      <c r="D61">
        <v>18629</v>
      </c>
      <c r="E61">
        <v>20153</v>
      </c>
      <c r="F61">
        <v>68740</v>
      </c>
      <c r="G61">
        <v>70506</v>
      </c>
      <c r="H61">
        <v>73077</v>
      </c>
      <c r="I61">
        <v>78489</v>
      </c>
      <c r="J61">
        <v>79863</v>
      </c>
      <c r="K61">
        <v>79752</v>
      </c>
    </row>
    <row r="62" spans="1:11">
      <c r="A62" s="75" t="s">
        <v>35</v>
      </c>
      <c r="B62">
        <v>4419</v>
      </c>
      <c r="C62">
        <v>4528</v>
      </c>
      <c r="D62">
        <v>4715</v>
      </c>
      <c r="E62">
        <v>5479</v>
      </c>
      <c r="F62">
        <v>51443</v>
      </c>
      <c r="G62">
        <v>51473</v>
      </c>
      <c r="H62">
        <v>52678</v>
      </c>
      <c r="I62">
        <v>53744</v>
      </c>
      <c r="J62">
        <v>54335</v>
      </c>
      <c r="K62">
        <v>57428</v>
      </c>
    </row>
    <row r="63" spans="1:11">
      <c r="A63" s="75" t="s">
        <v>36</v>
      </c>
      <c r="B63">
        <v>229</v>
      </c>
      <c r="C63">
        <v>461</v>
      </c>
      <c r="D63">
        <v>406</v>
      </c>
      <c r="E63">
        <v>597</v>
      </c>
      <c r="F63">
        <v>745</v>
      </c>
      <c r="G63">
        <v>1313</v>
      </c>
      <c r="H63">
        <v>1132</v>
      </c>
      <c r="I63">
        <v>1025</v>
      </c>
      <c r="J63">
        <v>1009</v>
      </c>
      <c r="K63">
        <v>880</v>
      </c>
    </row>
    <row r="64" spans="1:11">
      <c r="A64" s="75" t="s">
        <v>37</v>
      </c>
      <c r="B64">
        <v>3794</v>
      </c>
      <c r="C64">
        <v>2873</v>
      </c>
      <c r="D64">
        <v>2716</v>
      </c>
      <c r="E64">
        <v>1255</v>
      </c>
      <c r="F64">
        <v>2709</v>
      </c>
      <c r="G64">
        <v>3521</v>
      </c>
      <c r="H64">
        <v>2882</v>
      </c>
      <c r="I64">
        <v>4625</v>
      </c>
      <c r="J64">
        <v>3810</v>
      </c>
      <c r="K64">
        <v>4359</v>
      </c>
    </row>
    <row r="65" spans="1:11">
      <c r="A65" s="75" t="s">
        <v>38</v>
      </c>
      <c r="B65">
        <v>7264</v>
      </c>
      <c r="C65">
        <v>10000</v>
      </c>
      <c r="D65">
        <v>10792</v>
      </c>
      <c r="E65">
        <v>12822</v>
      </c>
      <c r="F65">
        <v>13843</v>
      </c>
      <c r="G65">
        <v>14199</v>
      </c>
      <c r="H65">
        <v>16385</v>
      </c>
      <c r="I65">
        <v>19095</v>
      </c>
      <c r="J65">
        <v>20709</v>
      </c>
      <c r="K65">
        <v>17085</v>
      </c>
    </row>
    <row r="66" spans="1:11" s="73" customFormat="1">
      <c r="A66" s="73" t="s">
        <v>34</v>
      </c>
      <c r="B66">
        <v>15706</v>
      </c>
      <c r="C66">
        <v>17862</v>
      </c>
      <c r="D66">
        <v>18629</v>
      </c>
      <c r="E66">
        <v>20153</v>
      </c>
      <c r="F66">
        <v>68740</v>
      </c>
      <c r="G66">
        <v>70506</v>
      </c>
      <c r="H66">
        <v>73077</v>
      </c>
      <c r="I66">
        <v>78489</v>
      </c>
      <c r="J66">
        <v>79863</v>
      </c>
      <c r="K66">
        <v>79752</v>
      </c>
    </row>
    <row r="67" spans="1:11">
      <c r="A67" s="75" t="s">
        <v>86</v>
      </c>
      <c r="B67">
        <v>1085</v>
      </c>
      <c r="C67">
        <v>1310</v>
      </c>
      <c r="D67">
        <v>1816</v>
      </c>
      <c r="E67">
        <v>1149</v>
      </c>
      <c r="F67">
        <v>1758</v>
      </c>
      <c r="G67">
        <v>2236</v>
      </c>
      <c r="H67">
        <v>3079</v>
      </c>
      <c r="I67">
        <v>2997</v>
      </c>
      <c r="J67">
        <v>3819</v>
      </c>
      <c r="K67">
        <v>3379</v>
      </c>
    </row>
    <row r="68" spans="1:11">
      <c r="A68" s="75" t="s">
        <v>41</v>
      </c>
      <c r="B68">
        <v>2541</v>
      </c>
      <c r="C68">
        <v>2513</v>
      </c>
      <c r="D68">
        <v>2574</v>
      </c>
      <c r="E68">
        <v>2767</v>
      </c>
      <c r="F68">
        <v>3579</v>
      </c>
      <c r="G68">
        <v>4096</v>
      </c>
      <c r="H68">
        <v>4251</v>
      </c>
      <c r="I68">
        <v>4022</v>
      </c>
      <c r="J68">
        <v>4415</v>
      </c>
      <c r="K68">
        <v>4789</v>
      </c>
    </row>
    <row r="69" spans="1:11">
      <c r="A69" s="75" t="s">
        <v>87</v>
      </c>
      <c r="B69">
        <v>1828</v>
      </c>
      <c r="C69">
        <v>3485</v>
      </c>
      <c r="D69">
        <v>3757</v>
      </c>
      <c r="E69">
        <v>5113</v>
      </c>
      <c r="F69">
        <v>4471</v>
      </c>
      <c r="G69">
        <v>3846</v>
      </c>
      <c r="H69">
        <v>4678</v>
      </c>
      <c r="I69">
        <v>7559</v>
      </c>
      <c r="J69">
        <v>7554</v>
      </c>
      <c r="K69">
        <v>3248</v>
      </c>
    </row>
    <row r="70" spans="1:11">
      <c r="A70" s="75" t="s">
        <v>88</v>
      </c>
      <c r="B70">
        <v>2164349639</v>
      </c>
      <c r="C70">
        <v>2164528777</v>
      </c>
      <c r="D70">
        <v>2164704405</v>
      </c>
      <c r="E70">
        <v>2164704405</v>
      </c>
      <c r="F70">
        <v>2349567819</v>
      </c>
      <c r="G70">
        <v>2349591262</v>
      </c>
      <c r="H70">
        <v>2349591262</v>
      </c>
      <c r="I70">
        <v>2349591262</v>
      </c>
      <c r="J70">
        <v>2349591262</v>
      </c>
    </row>
    <row r="71" spans="1:11">
      <c r="A71" s="75" t="s">
        <v>89</v>
      </c>
    </row>
    <row r="72" spans="1:11">
      <c r="A72" s="75" t="s">
        <v>90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80" spans="1:11">
      <c r="A80" s="73" t="s">
        <v>91</v>
      </c>
    </row>
    <row r="81" spans="1:11" s="74" customFormat="1">
      <c r="A81" s="76" t="s">
        <v>73</v>
      </c>
      <c r="B81" s="77">
        <v>42825</v>
      </c>
      <c r="C81" s="77">
        <v>43190</v>
      </c>
      <c r="D81" s="77">
        <v>43555</v>
      </c>
      <c r="E81" s="77">
        <v>43921</v>
      </c>
      <c r="F81" s="77">
        <v>44286</v>
      </c>
      <c r="G81" s="77">
        <v>44651</v>
      </c>
      <c r="H81" s="77">
        <v>45016</v>
      </c>
      <c r="I81" s="77">
        <v>45382</v>
      </c>
      <c r="J81" s="77">
        <v>45747</v>
      </c>
      <c r="K81" s="77">
        <v>46112</v>
      </c>
    </row>
    <row r="82" spans="1:11" s="73" customFormat="1">
      <c r="A82" s="10" t="s">
        <v>46</v>
      </c>
      <c r="B82" s="10">
        <v>5185</v>
      </c>
      <c r="C82" s="10">
        <v>6059</v>
      </c>
      <c r="D82" s="10">
        <v>5800</v>
      </c>
      <c r="E82" s="10">
        <v>7623</v>
      </c>
      <c r="F82" s="10">
        <v>9163</v>
      </c>
      <c r="G82" s="10">
        <v>9048</v>
      </c>
      <c r="H82" s="10">
        <v>9991</v>
      </c>
      <c r="I82" s="10">
        <v>15469</v>
      </c>
      <c r="J82" s="10">
        <v>11886</v>
      </c>
      <c r="K82" s="10">
        <v>10999</v>
      </c>
    </row>
    <row r="83" spans="1:11">
      <c r="A83" t="s">
        <v>92</v>
      </c>
      <c r="B83">
        <v>6512</v>
      </c>
      <c r="C83">
        <v>7485</v>
      </c>
      <c r="D83">
        <v>8909</v>
      </c>
      <c r="E83">
        <v>9723</v>
      </c>
      <c r="F83">
        <v>11672</v>
      </c>
      <c r="G83">
        <v>12829</v>
      </c>
      <c r="H83">
        <v>14089</v>
      </c>
      <c r="I83">
        <v>14537</v>
      </c>
      <c r="J83">
        <v>14942</v>
      </c>
      <c r="K83">
        <v>151153</v>
      </c>
    </row>
    <row r="84" spans="1:11">
      <c r="A84" t="s">
        <v>86</v>
      </c>
      <c r="B84">
        <v>173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s="73" customFormat="1">
      <c r="A85" t="s">
        <v>41</v>
      </c>
      <c r="B85">
        <v>37</v>
      </c>
      <c r="C85">
        <v>-146</v>
      </c>
      <c r="D85">
        <v>-195</v>
      </c>
      <c r="E85">
        <v>-331</v>
      </c>
      <c r="F85">
        <v>-543</v>
      </c>
      <c r="G85">
        <v>-758</v>
      </c>
      <c r="H85">
        <v>-339</v>
      </c>
      <c r="I85">
        <v>74</v>
      </c>
      <c r="J85">
        <v>-584</v>
      </c>
      <c r="K85">
        <v>-692</v>
      </c>
    </row>
    <row r="86" spans="1:11">
      <c r="A86" t="s">
        <v>93</v>
      </c>
      <c r="B86">
        <v>501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t="s">
        <v>94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t="s">
        <v>95</v>
      </c>
      <c r="B88">
        <v>-46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t="s">
        <v>96</v>
      </c>
      <c r="B89">
        <v>-99</v>
      </c>
      <c r="C89">
        <v>982</v>
      </c>
      <c r="D89">
        <v>-147</v>
      </c>
      <c r="E89">
        <v>742</v>
      </c>
      <c r="F89">
        <v>442</v>
      </c>
      <c r="G89">
        <v>-242</v>
      </c>
      <c r="H89">
        <v>-621</v>
      </c>
      <c r="I89">
        <v>1239</v>
      </c>
      <c r="J89">
        <v>-204</v>
      </c>
      <c r="K89">
        <v>1378</v>
      </c>
    </row>
    <row r="90" spans="1:11" s="73" customFormat="1">
      <c r="A90" t="s">
        <v>97</v>
      </c>
      <c r="B90">
        <v>566</v>
      </c>
      <c r="C90">
        <v>836</v>
      </c>
      <c r="D90">
        <v>-342</v>
      </c>
      <c r="E90">
        <v>411</v>
      </c>
      <c r="F90">
        <v>-101</v>
      </c>
      <c r="G90">
        <v>-1000</v>
      </c>
      <c r="H90">
        <v>-960</v>
      </c>
      <c r="I90">
        <v>1313</v>
      </c>
      <c r="J90">
        <v>-788</v>
      </c>
      <c r="K90">
        <v>686</v>
      </c>
    </row>
    <row r="91" spans="1:11">
      <c r="A91" t="s">
        <v>98</v>
      </c>
      <c r="B91">
        <v>-1859</v>
      </c>
      <c r="C91">
        <v>-2264</v>
      </c>
      <c r="D91">
        <v>-2767</v>
      </c>
      <c r="E91">
        <v>-2505</v>
      </c>
      <c r="F91">
        <v>-2407</v>
      </c>
      <c r="G91">
        <v>-2784</v>
      </c>
      <c r="H91">
        <v>-3138</v>
      </c>
      <c r="I91">
        <v>-381</v>
      </c>
      <c r="J91">
        <v>-2268</v>
      </c>
      <c r="K91">
        <v>-4840</v>
      </c>
    </row>
    <row r="92" spans="1:11" s="73" customFormat="1">
      <c r="A92" t="s">
        <v>99</v>
      </c>
      <c r="B92">
        <v>-21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t="s">
        <v>100</v>
      </c>
      <c r="B93">
        <v>-13</v>
      </c>
      <c r="C93">
        <v>2</v>
      </c>
      <c r="D93">
        <v>0</v>
      </c>
      <c r="E93">
        <v>-6</v>
      </c>
      <c r="F93">
        <v>-1</v>
      </c>
      <c r="G93">
        <v>3</v>
      </c>
      <c r="H93">
        <v>0</v>
      </c>
      <c r="I93">
        <v>0</v>
      </c>
      <c r="J93">
        <v>0</v>
      </c>
      <c r="K93">
        <v>0</v>
      </c>
    </row>
    <row r="94" spans="1:11">
      <c r="A94" s="10" t="s">
        <v>47</v>
      </c>
      <c r="B94" s="10">
        <v>-1173</v>
      </c>
      <c r="C94" s="10">
        <v>-1063</v>
      </c>
      <c r="D94" s="10">
        <v>-438</v>
      </c>
      <c r="E94" s="10">
        <v>1791</v>
      </c>
      <c r="F94" s="10">
        <v>-1228</v>
      </c>
      <c r="G94" s="10">
        <v>-1728</v>
      </c>
      <c r="H94" s="10">
        <v>-1484</v>
      </c>
      <c r="I94" s="10">
        <v>-5324</v>
      </c>
      <c r="J94" s="10">
        <v>6473</v>
      </c>
      <c r="K94" s="10">
        <v>-3684</v>
      </c>
    </row>
    <row r="95" spans="1:11">
      <c r="A95" t="s">
        <v>101</v>
      </c>
      <c r="B95">
        <v>-1113</v>
      </c>
      <c r="C95">
        <v>-895</v>
      </c>
      <c r="D95">
        <v>-767</v>
      </c>
      <c r="E95">
        <v>-862</v>
      </c>
      <c r="F95">
        <v>-4613</v>
      </c>
      <c r="G95">
        <v>-1228</v>
      </c>
      <c r="H95">
        <v>-1192</v>
      </c>
      <c r="I95">
        <v>-1477</v>
      </c>
      <c r="J95">
        <v>-1275</v>
      </c>
      <c r="K95">
        <v>-1360</v>
      </c>
    </row>
    <row r="96" spans="1:11">
      <c r="A96" t="s">
        <v>102</v>
      </c>
      <c r="B96">
        <v>176</v>
      </c>
      <c r="C96">
        <v>32</v>
      </c>
      <c r="D96">
        <v>13</v>
      </c>
      <c r="E96">
        <v>52</v>
      </c>
      <c r="F96">
        <v>97</v>
      </c>
      <c r="G96">
        <v>175</v>
      </c>
      <c r="H96">
        <v>181</v>
      </c>
      <c r="I96">
        <v>20</v>
      </c>
      <c r="J96">
        <v>13</v>
      </c>
      <c r="K96">
        <v>29</v>
      </c>
    </row>
    <row r="97" spans="1:11">
      <c r="A97" t="s">
        <v>103</v>
      </c>
      <c r="B97">
        <v>-31214</v>
      </c>
      <c r="C97">
        <v>-51855</v>
      </c>
      <c r="D97">
        <v>-74365</v>
      </c>
      <c r="E97">
        <v>-36090</v>
      </c>
      <c r="F97">
        <v>-39920</v>
      </c>
      <c r="G97">
        <v>-48522</v>
      </c>
      <c r="H97">
        <v>-22649</v>
      </c>
      <c r="I97">
        <v>-21337</v>
      </c>
      <c r="J97">
        <v>-22957</v>
      </c>
      <c r="K97">
        <v>-25529</v>
      </c>
    </row>
    <row r="98" spans="1:11">
      <c r="A98" t="s">
        <v>104</v>
      </c>
      <c r="B98">
        <v>30083</v>
      </c>
      <c r="C98">
        <v>52897</v>
      </c>
      <c r="D98">
        <v>74691</v>
      </c>
      <c r="E98">
        <v>37690</v>
      </c>
      <c r="F98">
        <v>38486</v>
      </c>
      <c r="G98">
        <v>47786</v>
      </c>
      <c r="H98">
        <v>23462</v>
      </c>
      <c r="I98">
        <v>19846</v>
      </c>
      <c r="J98">
        <v>23987</v>
      </c>
      <c r="K98">
        <v>25415</v>
      </c>
    </row>
    <row r="99" spans="1:11">
      <c r="A99" t="s">
        <v>105</v>
      </c>
      <c r="B99">
        <v>264</v>
      </c>
      <c r="C99">
        <v>297</v>
      </c>
      <c r="D99">
        <v>289</v>
      </c>
      <c r="E99">
        <v>351</v>
      </c>
      <c r="F99">
        <v>277</v>
      </c>
      <c r="G99">
        <v>161</v>
      </c>
      <c r="H99">
        <v>259</v>
      </c>
      <c r="I99">
        <v>425</v>
      </c>
      <c r="J99">
        <v>835</v>
      </c>
      <c r="K99">
        <v>428</v>
      </c>
    </row>
    <row r="100" spans="1:11">
      <c r="A100" t="s">
        <v>106</v>
      </c>
      <c r="B100">
        <v>14</v>
      </c>
      <c r="C100">
        <v>0</v>
      </c>
      <c r="D100">
        <v>1</v>
      </c>
      <c r="E100">
        <v>1</v>
      </c>
      <c r="F100">
        <v>1</v>
      </c>
      <c r="G100">
        <v>1</v>
      </c>
      <c r="H100">
        <v>2</v>
      </c>
      <c r="I100">
        <v>3</v>
      </c>
      <c r="J100">
        <v>0</v>
      </c>
      <c r="K100">
        <v>5</v>
      </c>
    </row>
    <row r="101" spans="1:11">
      <c r="A101" t="s">
        <v>107</v>
      </c>
      <c r="B101">
        <v>20</v>
      </c>
      <c r="C101">
        <v>73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108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-334</v>
      </c>
      <c r="I102">
        <v>0</v>
      </c>
      <c r="J102">
        <v>0</v>
      </c>
      <c r="K102">
        <v>0</v>
      </c>
    </row>
    <row r="103" spans="1:11">
      <c r="A103" t="s">
        <v>109</v>
      </c>
      <c r="B103">
        <v>597</v>
      </c>
      <c r="C103">
        <v>-1612</v>
      </c>
      <c r="D103">
        <v>-300</v>
      </c>
      <c r="E103">
        <v>649</v>
      </c>
      <c r="F103">
        <v>3994</v>
      </c>
      <c r="G103">
        <v>-101</v>
      </c>
      <c r="H103">
        <v>-1213</v>
      </c>
      <c r="I103">
        <v>-2804</v>
      </c>
      <c r="J103">
        <v>5870</v>
      </c>
      <c r="K103">
        <v>-2672</v>
      </c>
    </row>
    <row r="104" spans="1:11">
      <c r="A104" s="10" t="s">
        <v>48</v>
      </c>
      <c r="B104" s="10">
        <v>-4214</v>
      </c>
      <c r="C104" s="10">
        <v>-4975</v>
      </c>
      <c r="D104" s="10">
        <v>-5390</v>
      </c>
      <c r="E104" s="10">
        <v>-6819</v>
      </c>
      <c r="F104" s="10">
        <v>-9309</v>
      </c>
      <c r="G104" s="10">
        <v>-8015</v>
      </c>
      <c r="H104" s="10">
        <v>-8953</v>
      </c>
      <c r="I104" s="10">
        <v>-10034</v>
      </c>
      <c r="J104" s="10">
        <v>-13101</v>
      </c>
      <c r="K104" s="10">
        <v>-10810</v>
      </c>
    </row>
    <row r="105" spans="1:11">
      <c r="A105" t="s">
        <v>110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t="s">
        <v>111</v>
      </c>
      <c r="B106">
        <v>460</v>
      </c>
      <c r="C106">
        <v>0</v>
      </c>
      <c r="D106">
        <v>99</v>
      </c>
      <c r="E106">
        <v>0</v>
      </c>
      <c r="F106">
        <v>188</v>
      </c>
      <c r="G106">
        <v>55</v>
      </c>
      <c r="H106">
        <v>286</v>
      </c>
      <c r="I106">
        <v>0</v>
      </c>
      <c r="J106">
        <v>0</v>
      </c>
      <c r="K106">
        <v>0</v>
      </c>
    </row>
    <row r="107" spans="1:11">
      <c r="A107" t="s">
        <v>112</v>
      </c>
      <c r="B107">
        <v>-360</v>
      </c>
      <c r="C107">
        <v>-277</v>
      </c>
      <c r="D107">
        <v>0</v>
      </c>
      <c r="E107">
        <v>-99</v>
      </c>
      <c r="F107">
        <v>-188</v>
      </c>
      <c r="G107">
        <v>-55</v>
      </c>
      <c r="H107">
        <v>-208</v>
      </c>
      <c r="I107">
        <v>-85</v>
      </c>
      <c r="J107">
        <v>0</v>
      </c>
      <c r="K107">
        <v>-46</v>
      </c>
    </row>
    <row r="108" spans="1:11">
      <c r="A108" t="s">
        <v>113</v>
      </c>
      <c r="B108">
        <v>-14</v>
      </c>
      <c r="C108">
        <v>-6</v>
      </c>
      <c r="D108">
        <v>-7</v>
      </c>
      <c r="E108">
        <v>-90</v>
      </c>
      <c r="F108">
        <v>-92</v>
      </c>
      <c r="G108">
        <v>-82</v>
      </c>
      <c r="H108">
        <v>-88</v>
      </c>
      <c r="I108">
        <v>-110</v>
      </c>
      <c r="J108">
        <v>-130</v>
      </c>
      <c r="K108">
        <v>-133</v>
      </c>
    </row>
    <row r="109" spans="1:11">
      <c r="A109" t="s">
        <v>114</v>
      </c>
      <c r="B109">
        <v>-3572</v>
      </c>
      <c r="C109">
        <v>-3911</v>
      </c>
      <c r="D109">
        <v>-4554</v>
      </c>
      <c r="E109">
        <v>-5196</v>
      </c>
      <c r="F109">
        <v>-8811</v>
      </c>
      <c r="G109">
        <v>-7526</v>
      </c>
      <c r="H109">
        <v>-8474</v>
      </c>
      <c r="I109">
        <v>-9416</v>
      </c>
      <c r="J109">
        <v>-12473</v>
      </c>
      <c r="K109">
        <v>-10124</v>
      </c>
    </row>
    <row r="110" spans="1:11">
      <c r="A110" t="s">
        <v>115</v>
      </c>
      <c r="B110">
        <v>0</v>
      </c>
      <c r="C110">
        <v>0</v>
      </c>
      <c r="D110">
        <v>0</v>
      </c>
      <c r="E110">
        <v>-373</v>
      </c>
      <c r="F110">
        <v>-406</v>
      </c>
      <c r="G110">
        <v>-407</v>
      </c>
      <c r="H110">
        <v>-467</v>
      </c>
      <c r="I110">
        <v>-423</v>
      </c>
      <c r="J110">
        <v>-498</v>
      </c>
      <c r="K110">
        <v>-507</v>
      </c>
    </row>
    <row r="111" spans="1:11">
      <c r="A111" t="s">
        <v>116</v>
      </c>
      <c r="B111">
        <v>-728</v>
      </c>
      <c r="C111">
        <v>-781</v>
      </c>
      <c r="D111">
        <v>-928</v>
      </c>
      <c r="E111">
        <v>-1061</v>
      </c>
      <c r="F111">
        <v>0</v>
      </c>
      <c r="G111">
        <v>0</v>
      </c>
      <c r="H111">
        <v>-2</v>
      </c>
      <c r="I111">
        <v>0</v>
      </c>
      <c r="J111">
        <v>0</v>
      </c>
      <c r="K111">
        <v>0</v>
      </c>
    </row>
    <row r="112" spans="1:11">
      <c r="A112"/>
      <c r="B112"/>
      <c r="C112"/>
      <c r="D112"/>
      <c r="E112"/>
      <c r="F112"/>
      <c r="G112"/>
      <c r="H112"/>
      <c r="I112"/>
      <c r="J112"/>
      <c r="K112"/>
    </row>
    <row r="113" spans="1:11" hidden="1">
      <c r="A113" s="75" t="s">
        <v>46</v>
      </c>
      <c r="B113">
        <v>5185</v>
      </c>
      <c r="C113">
        <v>6059</v>
      </c>
      <c r="D113">
        <v>5800</v>
      </c>
      <c r="E113">
        <v>7623</v>
      </c>
      <c r="F113">
        <v>9163</v>
      </c>
      <c r="G113">
        <v>9048</v>
      </c>
      <c r="H113">
        <v>9991</v>
      </c>
      <c r="I113">
        <v>15469</v>
      </c>
      <c r="J113">
        <v>11886</v>
      </c>
      <c r="K113">
        <v>10999</v>
      </c>
    </row>
    <row r="114" spans="1:11" hidden="1">
      <c r="A114" s="75" t="s">
        <v>47</v>
      </c>
      <c r="B114">
        <v>-1173</v>
      </c>
      <c r="C114">
        <v>-1063</v>
      </c>
      <c r="D114">
        <v>-438</v>
      </c>
      <c r="E114">
        <v>1791</v>
      </c>
      <c r="F114">
        <v>-1228</v>
      </c>
      <c r="G114">
        <v>-1728</v>
      </c>
      <c r="H114">
        <v>-1484</v>
      </c>
      <c r="I114">
        <v>-5324</v>
      </c>
      <c r="J114">
        <v>6473</v>
      </c>
      <c r="K114">
        <v>-3684</v>
      </c>
    </row>
    <row r="115" spans="1:11" hidden="1">
      <c r="A115" s="75" t="s">
        <v>48</v>
      </c>
      <c r="B115">
        <v>-4214</v>
      </c>
      <c r="C115">
        <v>-4975</v>
      </c>
      <c r="D115">
        <v>-5390</v>
      </c>
      <c r="E115">
        <v>-6819</v>
      </c>
      <c r="F115">
        <v>-9309</v>
      </c>
      <c r="G115">
        <v>-8015</v>
      </c>
      <c r="H115">
        <v>-8953</v>
      </c>
      <c r="I115">
        <v>-10034</v>
      </c>
      <c r="J115">
        <v>-13101</v>
      </c>
      <c r="K115">
        <v>-10810</v>
      </c>
    </row>
    <row r="116" spans="1:11" hidden="1">
      <c r="A116" s="75" t="s">
        <v>49</v>
      </c>
      <c r="B116">
        <v>-202</v>
      </c>
      <c r="C116">
        <v>21</v>
      </c>
      <c r="D116">
        <v>-28</v>
      </c>
      <c r="E116">
        <v>2595</v>
      </c>
      <c r="F116">
        <v>-1374</v>
      </c>
      <c r="G116">
        <v>-695</v>
      </c>
      <c r="H116">
        <v>-446</v>
      </c>
      <c r="I116">
        <v>111</v>
      </c>
      <c r="J116">
        <v>5258</v>
      </c>
      <c r="K116">
        <v>-3495</v>
      </c>
    </row>
    <row r="121" spans="1:11">
      <c r="A121" s="73" t="s">
        <v>117</v>
      </c>
      <c r="B121">
        <v>872.61</v>
      </c>
      <c r="C121">
        <v>1276.1099999999999</v>
      </c>
      <c r="D121">
        <v>1633.53</v>
      </c>
      <c r="E121">
        <v>2199.83</v>
      </c>
      <c r="F121">
        <v>2327.12</v>
      </c>
      <c r="G121">
        <v>1960.7</v>
      </c>
      <c r="H121">
        <v>2450.44</v>
      </c>
      <c r="I121">
        <v>2167.14</v>
      </c>
      <c r="J121">
        <v>2161.88</v>
      </c>
      <c r="K121">
        <v>2055.1999999999998</v>
      </c>
    </row>
    <row r="123" spans="1:11">
      <c r="A123" s="73" t="s">
        <v>118</v>
      </c>
      <c r="B123" s="73"/>
      <c r="C123" s="73"/>
      <c r="D123" s="73"/>
      <c r="E123" s="73"/>
      <c r="F123" s="73"/>
      <c r="G123" s="73"/>
      <c r="H123" s="73"/>
      <c r="I123" s="73"/>
      <c r="J123" s="73"/>
      <c r="K123" s="73"/>
    </row>
    <row r="124" spans="1:11">
      <c r="A124" s="75" t="s">
        <v>119</v>
      </c>
      <c r="B124" s="78">
        <v>216.43</v>
      </c>
      <c r="C124" s="78">
        <v>216.45</v>
      </c>
      <c r="D124" s="78">
        <v>216.47</v>
      </c>
      <c r="E124" s="78">
        <v>216.48</v>
      </c>
      <c r="F124" s="78">
        <v>234.96</v>
      </c>
      <c r="G124" s="78">
        <v>234.96</v>
      </c>
      <c r="H124" s="78">
        <v>234.96</v>
      </c>
      <c r="I124" s="78">
        <v>234.96</v>
      </c>
      <c r="J124" s="78">
        <v>234.96</v>
      </c>
      <c r="K124" s="78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=IF(B2&lt;&gt;B3,&quot;A NEW VERSION OF THE WORKSHEET IS AVAILABLE&quot;,&quot;&quot;)" xr:uid="{00000000-0004-0000-0500-000000000000}"/>
  </hyperlink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Z95"/>
  <sheetViews>
    <sheetView showGridLines="0" topLeftCell="D1" zoomScaleNormal="100" workbookViewId="0">
      <pane ySplit="3" topLeftCell="A4" activePane="bottomLeft" state="frozen"/>
      <selection pane="bottomLeft" activeCell="R86" sqref="R86"/>
    </sheetView>
  </sheetViews>
  <sheetFormatPr defaultColWidth="9" defaultRowHeight="14.4"/>
  <cols>
    <col min="1" max="1" width="2" customWidth="1"/>
    <col min="2" max="2" width="42.5546875" bestFit="1" customWidth="1"/>
    <col min="3" max="11" width="14" customWidth="1"/>
    <col min="12" max="12" width="12.6640625" bestFit="1" customWidth="1"/>
    <col min="13" max="15" width="14" customWidth="1"/>
    <col min="16" max="16" width="12.44140625" customWidth="1"/>
  </cols>
  <sheetData>
    <row r="2" spans="1:26">
      <c r="B2" s="96" t="str">
        <f>"Historical Financial Statements for "&amp;'Data Sheet'!B1</f>
        <v>Historical Financial Statements for HINDUSTAN UNILEVER LTD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26">
      <c r="B3" s="7" t="s">
        <v>120</v>
      </c>
      <c r="C3" s="8">
        <f>'Data Sheet'!B16</f>
        <v>42825</v>
      </c>
      <c r="D3" s="8">
        <f>'Data Sheet'!C16</f>
        <v>43190</v>
      </c>
      <c r="E3" s="8">
        <f>'Data Sheet'!D16</f>
        <v>43555</v>
      </c>
      <c r="F3" s="8">
        <f>'Data Sheet'!E16</f>
        <v>43921</v>
      </c>
      <c r="G3" s="8">
        <f>'Data Sheet'!F16</f>
        <v>44286</v>
      </c>
      <c r="H3" s="8">
        <f>'Data Sheet'!G16</f>
        <v>44651</v>
      </c>
      <c r="I3" s="8">
        <f>'Data Sheet'!H16</f>
        <v>45016</v>
      </c>
      <c r="J3" s="8">
        <f>'Data Sheet'!I16</f>
        <v>45382</v>
      </c>
      <c r="K3" s="8">
        <f>'Data Sheet'!J16</f>
        <v>45747</v>
      </c>
      <c r="L3" s="8">
        <f>'Data Sheet'!K16</f>
        <v>46112</v>
      </c>
      <c r="M3" s="38">
        <f>'Data Sheet'!K56+365</f>
        <v>46477</v>
      </c>
      <c r="N3" s="38">
        <f>M3+365</f>
        <v>46842</v>
      </c>
      <c r="O3" s="38">
        <f>N3+365</f>
        <v>47207</v>
      </c>
      <c r="P3" s="38">
        <f>O3+365</f>
        <v>47572</v>
      </c>
      <c r="Q3" s="48"/>
      <c r="R3" s="48"/>
      <c r="S3" s="48"/>
      <c r="T3" s="48"/>
      <c r="U3" s="48"/>
      <c r="V3" s="48"/>
      <c r="W3" s="48"/>
      <c r="X3" s="48"/>
      <c r="Y3" s="48"/>
      <c r="Z3" s="48"/>
    </row>
    <row r="5" spans="1:26">
      <c r="A5" s="10" t="s">
        <v>121</v>
      </c>
      <c r="B5" s="49" t="s">
        <v>122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R5" s="100" t="s">
        <v>225</v>
      </c>
    </row>
    <row r="6" spans="1:26">
      <c r="B6" s="51" t="str">
        <f>'Data Sheet'!A17</f>
        <v>Sales</v>
      </c>
      <c r="C6" s="52">
        <f>'Data Sheet'!B17</f>
        <v>33162</v>
      </c>
      <c r="D6" s="52">
        <f>'Data Sheet'!C17</f>
        <v>35545</v>
      </c>
      <c r="E6" s="52">
        <f>'Data Sheet'!D17</f>
        <v>39310</v>
      </c>
      <c r="F6" s="52">
        <f>'Data Sheet'!E17</f>
        <v>39783</v>
      </c>
      <c r="G6" s="52">
        <f>'Data Sheet'!F17</f>
        <v>47028</v>
      </c>
      <c r="H6" s="52">
        <f>'Data Sheet'!G17</f>
        <v>52446</v>
      </c>
      <c r="I6" s="52">
        <f>'Data Sheet'!H17</f>
        <v>60580</v>
      </c>
      <c r="J6" s="52">
        <f>'Data Sheet'!I17</f>
        <v>61896</v>
      </c>
      <c r="K6" s="52">
        <f>'Data Sheet'!J17</f>
        <v>63121</v>
      </c>
      <c r="L6" s="52">
        <f>'Data Sheet'!K17</f>
        <v>64468</v>
      </c>
      <c r="M6" s="53">
        <f>FORECAST(M$3,C6:L6,C$3:L$3)</f>
        <v>71580.023110502516</v>
      </c>
      <c r="N6" s="53">
        <f>FORECAST(N$3,D6:M6,D$3:M$3)</f>
        <v>75897.690053831728</v>
      </c>
      <c r="O6" s="53">
        <f>FORECAST(O$3,E6:N6,E$3:N$3)</f>
        <v>80018.286233049817</v>
      </c>
      <c r="P6" s="53">
        <f>FORECAST(P$3,F6:O6,F$3:O$3)</f>
        <v>84102.444073946797</v>
      </c>
      <c r="R6" s="98">
        <f>((L6/C6)^(1/10))-1</f>
        <v>6.8735777371946583E-2</v>
      </c>
    </row>
    <row r="7" spans="1:26">
      <c r="B7" s="54" t="s">
        <v>28</v>
      </c>
      <c r="C7" s="55" t="s">
        <v>123</v>
      </c>
      <c r="D7" s="56">
        <f>D6/C6-1</f>
        <v>7.1859357095470644E-2</v>
      </c>
      <c r="E7" s="56">
        <f t="shared" ref="E7:P7" si="0">E6/D6-1</f>
        <v>0.1059220706147137</v>
      </c>
      <c r="F7" s="56">
        <f t="shared" si="0"/>
        <v>1.2032561689137689E-2</v>
      </c>
      <c r="G7" s="56">
        <f t="shared" si="0"/>
        <v>0.18211296282331646</v>
      </c>
      <c r="H7" s="56">
        <f t="shared" si="0"/>
        <v>0.11520796121459553</v>
      </c>
      <c r="I7" s="56">
        <f t="shared" si="0"/>
        <v>0.15509285741524614</v>
      </c>
      <c r="J7" s="56">
        <f t="shared" si="0"/>
        <v>2.1723341036645749E-2</v>
      </c>
      <c r="K7" s="56">
        <f t="shared" si="0"/>
        <v>1.9791262763344974E-2</v>
      </c>
      <c r="L7" s="56">
        <f t="shared" si="0"/>
        <v>2.1339966096861618E-2</v>
      </c>
      <c r="M7" s="56">
        <f t="shared" si="0"/>
        <v>0.11031865593011281</v>
      </c>
      <c r="N7" s="56">
        <f t="shared" si="0"/>
        <v>6.0319440476622299E-2</v>
      </c>
      <c r="O7" s="56">
        <f t="shared" si="0"/>
        <v>5.4291457042967783E-2</v>
      </c>
      <c r="P7" s="56">
        <f t="shared" si="0"/>
        <v>5.1040306324507512E-2</v>
      </c>
    </row>
    <row r="8" spans="1:26">
      <c r="B8" s="51"/>
      <c r="C8" s="57"/>
      <c r="D8" s="57"/>
      <c r="E8" s="57"/>
      <c r="F8" s="57"/>
      <c r="G8" s="57"/>
      <c r="H8" s="57"/>
      <c r="I8" s="57"/>
      <c r="J8" s="57"/>
      <c r="K8" s="57"/>
      <c r="L8" s="57"/>
      <c r="M8" s="39"/>
      <c r="N8" s="39"/>
      <c r="O8" s="39"/>
      <c r="P8" s="39"/>
    </row>
    <row r="9" spans="1:26">
      <c r="B9" s="51" t="s">
        <v>124</v>
      </c>
      <c r="C9" s="52">
        <f>SUM('Data Sheet'!B18,'Data Sheet'!B20:B22)-(1*'Data Sheet'!B19)</f>
        <v>18675</v>
      </c>
      <c r="D9" s="52">
        <f>SUM('Data Sheet'!C18,'Data Sheet'!C20:C22)-(1*'Data Sheet'!C19)</f>
        <v>19314</v>
      </c>
      <c r="E9" s="52">
        <f>SUM('Data Sheet'!D18,'Data Sheet'!D20:D22)-(1*'Data Sheet'!D19)</f>
        <v>21081</v>
      </c>
      <c r="F9" s="52">
        <f>SUM('Data Sheet'!E18,'Data Sheet'!E20:E22)-(1*'Data Sheet'!E19)</f>
        <v>20614</v>
      </c>
      <c r="G9" s="52">
        <f>SUM('Data Sheet'!F18,'Data Sheet'!F20:F22)-(1*'Data Sheet'!F19)</f>
        <v>25301</v>
      </c>
      <c r="H9" s="52">
        <f>SUM('Data Sheet'!G18,'Data Sheet'!G20:G22)-(1*'Data Sheet'!G19)</f>
        <v>29066</v>
      </c>
      <c r="I9" s="52">
        <f>SUM('Data Sheet'!H18,'Data Sheet'!H20:H22)-(1*'Data Sheet'!H19)</f>
        <v>35381</v>
      </c>
      <c r="J9" s="52">
        <f>SUM('Data Sheet'!I18,'Data Sheet'!I20:I22)-(1*'Data Sheet'!I19)</f>
        <v>33651</v>
      </c>
      <c r="K9" s="52">
        <f>SUM('Data Sheet'!J18,'Data Sheet'!J20:J22)-(1*'Data Sheet'!J19)</f>
        <v>34529</v>
      </c>
      <c r="L9" s="52">
        <f>SUM('Data Sheet'!K18,'Data Sheet'!K20:K22)-(1*'Data Sheet'!K19)</f>
        <v>34840</v>
      </c>
      <c r="M9" s="53">
        <f>FORECAST(M$3,C9:L9,C$3:L$3)</f>
        <v>39339.248885064444</v>
      </c>
      <c r="N9" s="53">
        <f>FORECAST(N$3,D9:M9,D$3:M$3)</f>
        <v>41890.517532873404</v>
      </c>
      <c r="O9" s="53">
        <f>FORECAST(O$3,E9:N9,E$3:N$3)</f>
        <v>44256.026786855888</v>
      </c>
      <c r="P9" s="53">
        <f>FORECAST(P$3,F9:O9,F$3:O$3)</f>
        <v>46534.687967652222</v>
      </c>
      <c r="U9" s="29"/>
    </row>
    <row r="10" spans="1:26">
      <c r="B10" s="51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39"/>
      <c r="N10" s="39"/>
      <c r="O10" s="39"/>
      <c r="P10" s="39"/>
    </row>
    <row r="11" spans="1:26">
      <c r="B11" s="58" t="s">
        <v>125</v>
      </c>
      <c r="C11" s="59">
        <f>C6-C9</f>
        <v>14487</v>
      </c>
      <c r="D11" s="59">
        <f t="shared" ref="D11:P11" si="1">D6-D9</f>
        <v>16231</v>
      </c>
      <c r="E11" s="59">
        <f t="shared" si="1"/>
        <v>18229</v>
      </c>
      <c r="F11" s="59">
        <f t="shared" si="1"/>
        <v>19169</v>
      </c>
      <c r="G11" s="59">
        <f t="shared" si="1"/>
        <v>21727</v>
      </c>
      <c r="H11" s="59">
        <f t="shared" si="1"/>
        <v>23380</v>
      </c>
      <c r="I11" s="59">
        <f t="shared" si="1"/>
        <v>25199</v>
      </c>
      <c r="J11" s="59">
        <f t="shared" si="1"/>
        <v>28245</v>
      </c>
      <c r="K11" s="59">
        <f t="shared" si="1"/>
        <v>28592</v>
      </c>
      <c r="L11" s="59">
        <f t="shared" si="1"/>
        <v>29628</v>
      </c>
      <c r="M11" s="60">
        <f t="shared" si="1"/>
        <v>32240.774225438072</v>
      </c>
      <c r="N11" s="60">
        <f t="shared" si="1"/>
        <v>34007.172520958324</v>
      </c>
      <c r="O11" s="60">
        <f t="shared" si="1"/>
        <v>35762.25944619393</v>
      </c>
      <c r="P11" s="60">
        <f t="shared" si="1"/>
        <v>37567.756106294575</v>
      </c>
    </row>
    <row r="12" spans="1:26">
      <c r="B12" s="54" t="s">
        <v>126</v>
      </c>
      <c r="C12" s="56">
        <f>C11/C6</f>
        <v>0.43685543694590195</v>
      </c>
      <c r="D12" s="56">
        <f t="shared" ref="D12:P12" si="2">D11/D6</f>
        <v>0.45663243775495849</v>
      </c>
      <c r="E12" s="56">
        <f t="shared" si="2"/>
        <v>0.46372424319511574</v>
      </c>
      <c r="F12" s="56">
        <f t="shared" si="2"/>
        <v>0.48183897644722617</v>
      </c>
      <c r="G12" s="56">
        <f t="shared" si="2"/>
        <v>0.46200136089138388</v>
      </c>
      <c r="H12" s="56">
        <f t="shared" si="2"/>
        <v>0.44579186210578498</v>
      </c>
      <c r="I12" s="56">
        <f t="shared" si="2"/>
        <v>0.41596236381644108</v>
      </c>
      <c r="J12" s="56">
        <f t="shared" si="2"/>
        <v>0.45632997285769678</v>
      </c>
      <c r="K12" s="56">
        <f t="shared" si="2"/>
        <v>0.45297127738787407</v>
      </c>
      <c r="L12" s="56">
        <f t="shared" si="2"/>
        <v>0.4595768443258671</v>
      </c>
      <c r="M12" s="56">
        <f t="shared" si="2"/>
        <v>0.45041581190419555</v>
      </c>
      <c r="N12" s="56">
        <f t="shared" si="2"/>
        <v>0.44806597535232179</v>
      </c>
      <c r="O12" s="56">
        <f t="shared" si="2"/>
        <v>0.44692608564544717</v>
      </c>
      <c r="P12" s="56">
        <f t="shared" si="2"/>
        <v>0.4466904204741452</v>
      </c>
    </row>
    <row r="13" spans="1:26">
      <c r="B13" s="51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39"/>
      <c r="N13" s="39"/>
      <c r="O13" s="39"/>
      <c r="P13" s="39"/>
    </row>
    <row r="14" spans="1:26">
      <c r="B14" s="51" t="s">
        <v>127</v>
      </c>
      <c r="C14" s="52">
        <f>SUM('Data Sheet'!B23:B24)</f>
        <v>8159</v>
      </c>
      <c r="D14" s="52">
        <f>SUM('Data Sheet'!C23:C24)</f>
        <v>8732</v>
      </c>
      <c r="E14" s="52">
        <f>SUM('Data Sheet'!D23:D24)</f>
        <v>9349</v>
      </c>
      <c r="F14" s="52">
        <f>SUM('Data Sheet'!E23:E24)</f>
        <v>9308</v>
      </c>
      <c r="G14" s="52">
        <f>SUM('Data Sheet'!F23:F24)</f>
        <v>10101</v>
      </c>
      <c r="H14" s="52">
        <f>SUM('Data Sheet'!G23:G24)</f>
        <v>10523</v>
      </c>
      <c r="I14" s="52">
        <f>SUM('Data Sheet'!H23:H24)</f>
        <v>11052</v>
      </c>
      <c r="J14" s="52">
        <f>SUM('Data Sheet'!I23:I24)</f>
        <v>13586</v>
      </c>
      <c r="K14" s="52">
        <f>SUM('Data Sheet'!J23:J24)</f>
        <v>13749</v>
      </c>
      <c r="L14" s="52">
        <f>SUM('Data Sheet'!K23:K24)</f>
        <v>14589</v>
      </c>
      <c r="M14" s="53">
        <f>FORECAST(M$3,C14:L14,C$3:L$3)</f>
        <v>14908.350160754228</v>
      </c>
      <c r="N14" s="53">
        <f>FORECAST(N$3,D14:M14,D$3:M$3)</f>
        <v>15770.562801563879</v>
      </c>
      <c r="O14" s="53">
        <f>FORECAST(O$3,E14:N14,E$3:N$3)</f>
        <v>16680.803762051117</v>
      </c>
      <c r="P14" s="53">
        <f>FORECAST(P$3,F14:O14,F$3:O$3)</f>
        <v>17650.802916474757</v>
      </c>
    </row>
    <row r="15" spans="1:26">
      <c r="B15" s="51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39"/>
      <c r="N15" s="39"/>
      <c r="O15" s="39"/>
      <c r="P15" s="39"/>
    </row>
    <row r="16" spans="1:26">
      <c r="B16" s="58" t="s">
        <v>82</v>
      </c>
      <c r="C16" s="59">
        <f>C11-C14</f>
        <v>6328</v>
      </c>
      <c r="D16" s="59">
        <f t="shared" ref="D16:P16" si="3">D11-D14</f>
        <v>7499</v>
      </c>
      <c r="E16" s="59">
        <f t="shared" si="3"/>
        <v>8880</v>
      </c>
      <c r="F16" s="59">
        <f t="shared" si="3"/>
        <v>9861</v>
      </c>
      <c r="G16" s="59">
        <f t="shared" si="3"/>
        <v>11626</v>
      </c>
      <c r="H16" s="59">
        <f t="shared" si="3"/>
        <v>12857</v>
      </c>
      <c r="I16" s="59">
        <f t="shared" si="3"/>
        <v>14147</v>
      </c>
      <c r="J16" s="59">
        <f t="shared" si="3"/>
        <v>14659</v>
      </c>
      <c r="K16" s="59">
        <f t="shared" si="3"/>
        <v>14843</v>
      </c>
      <c r="L16" s="59">
        <f t="shared" si="3"/>
        <v>15039</v>
      </c>
      <c r="M16" s="60">
        <f t="shared" si="3"/>
        <v>17332.424064683844</v>
      </c>
      <c r="N16" s="60">
        <f t="shared" si="3"/>
        <v>18236.609719394444</v>
      </c>
      <c r="O16" s="60">
        <f t="shared" si="3"/>
        <v>19081.455684142813</v>
      </c>
      <c r="P16" s="60">
        <f t="shared" si="3"/>
        <v>19916.953189819818</v>
      </c>
    </row>
    <row r="17" spans="2:16">
      <c r="B17" s="54" t="s">
        <v>128</v>
      </c>
      <c r="C17" s="56">
        <f>C16/C6</f>
        <v>0.1908208190097099</v>
      </c>
      <c r="D17" s="56">
        <f t="shared" ref="D17:P17" si="4">D16/D6</f>
        <v>0.21097200731467156</v>
      </c>
      <c r="E17" s="56">
        <f t="shared" si="4"/>
        <v>0.2258967183922666</v>
      </c>
      <c r="F17" s="56">
        <f t="shared" si="4"/>
        <v>0.24786969308498605</v>
      </c>
      <c r="G17" s="56">
        <f t="shared" si="4"/>
        <v>0.24721442544866887</v>
      </c>
      <c r="H17" s="56">
        <f t="shared" si="4"/>
        <v>0.24514738969606834</v>
      </c>
      <c r="I17" s="56">
        <f t="shared" si="4"/>
        <v>0.23352591614394189</v>
      </c>
      <c r="J17" s="56">
        <f t="shared" si="4"/>
        <v>0.23683275171255008</v>
      </c>
      <c r="K17" s="56">
        <f t="shared" si="4"/>
        <v>0.23515153435465216</v>
      </c>
      <c r="L17" s="56">
        <f t="shared" si="4"/>
        <v>0.23327852578023206</v>
      </c>
      <c r="M17" s="56">
        <f t="shared" si="4"/>
        <v>0.24214052065793143</v>
      </c>
      <c r="N17" s="56">
        <f t="shared" si="4"/>
        <v>0.24027885046909619</v>
      </c>
      <c r="O17" s="56">
        <f t="shared" si="4"/>
        <v>0.23846368851950783</v>
      </c>
      <c r="P17" s="56">
        <f t="shared" si="4"/>
        <v>0.23681776919952413</v>
      </c>
    </row>
    <row r="18" spans="2:16">
      <c r="B18" s="51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39"/>
      <c r="N18" s="39"/>
      <c r="O18" s="39"/>
      <c r="P18" s="39"/>
    </row>
    <row r="19" spans="2:16">
      <c r="B19" s="51" t="s">
        <v>129</v>
      </c>
      <c r="C19" s="52">
        <f>'Data Sheet'!B26</f>
        <v>432</v>
      </c>
      <c r="D19" s="52">
        <f>'Data Sheet'!C26</f>
        <v>520</v>
      </c>
      <c r="E19" s="52">
        <f>'Data Sheet'!D26</f>
        <v>565</v>
      </c>
      <c r="F19" s="52">
        <f>'Data Sheet'!E26</f>
        <v>1002</v>
      </c>
      <c r="G19" s="52">
        <f>'Data Sheet'!F26</f>
        <v>1074</v>
      </c>
      <c r="H19" s="52">
        <f>'Data Sheet'!G26</f>
        <v>1091</v>
      </c>
      <c r="I19" s="52">
        <f>'Data Sheet'!H26</f>
        <v>1137</v>
      </c>
      <c r="J19" s="52">
        <f>'Data Sheet'!I26</f>
        <v>1216</v>
      </c>
      <c r="K19" s="52">
        <f>'Data Sheet'!J26</f>
        <v>1355</v>
      </c>
      <c r="L19" s="52">
        <f>'Data Sheet'!K26</f>
        <v>1333</v>
      </c>
      <c r="M19" s="53">
        <f>FORECAST(M$3,C19:L19,C$3:L$3)</f>
        <v>1560.1090510669783</v>
      </c>
      <c r="N19" s="53">
        <f>FORECAST(N$3,D19:M19,D$3:M$3)</f>
        <v>1650.9875927488392</v>
      </c>
      <c r="O19" s="53">
        <f>FORECAST(O$3,E19:N19,E$3:N$3)</f>
        <v>1726.5136788319887</v>
      </c>
      <c r="P19" s="53">
        <f>FORECAST(P$3,F19:O19,F$3:O$3)</f>
        <v>1768.8664306119172</v>
      </c>
    </row>
    <row r="20" spans="2:16">
      <c r="B20" s="51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39"/>
      <c r="N20" s="39"/>
      <c r="O20" s="39"/>
      <c r="P20" s="39"/>
    </row>
    <row r="21" spans="2:16">
      <c r="B21" s="58" t="s">
        <v>83</v>
      </c>
      <c r="C21" s="59">
        <f>C16-C19</f>
        <v>5896</v>
      </c>
      <c r="D21" s="59">
        <f t="shared" ref="D21:P21" si="5">D16-D19</f>
        <v>6979</v>
      </c>
      <c r="E21" s="59">
        <f t="shared" si="5"/>
        <v>8315</v>
      </c>
      <c r="F21" s="59">
        <f t="shared" si="5"/>
        <v>8859</v>
      </c>
      <c r="G21" s="59">
        <f t="shared" si="5"/>
        <v>10552</v>
      </c>
      <c r="H21" s="59">
        <f t="shared" si="5"/>
        <v>11766</v>
      </c>
      <c r="I21" s="59">
        <f t="shared" si="5"/>
        <v>13010</v>
      </c>
      <c r="J21" s="59">
        <f t="shared" si="5"/>
        <v>13443</v>
      </c>
      <c r="K21" s="59">
        <f t="shared" si="5"/>
        <v>13488</v>
      </c>
      <c r="L21" s="59">
        <f t="shared" si="5"/>
        <v>13706</v>
      </c>
      <c r="M21" s="60">
        <f t="shared" si="5"/>
        <v>15772.315013616866</v>
      </c>
      <c r="N21" s="60">
        <f t="shared" si="5"/>
        <v>16585.622126645605</v>
      </c>
      <c r="O21" s="60">
        <f t="shared" si="5"/>
        <v>17354.942005310826</v>
      </c>
      <c r="P21" s="60">
        <f t="shared" si="5"/>
        <v>18148.086759207901</v>
      </c>
    </row>
    <row r="22" spans="2:16">
      <c r="B22" s="54" t="s">
        <v>130</v>
      </c>
      <c r="C22" s="56">
        <f>C21/C6</f>
        <v>0.17779386044267534</v>
      </c>
      <c r="D22" s="56">
        <f t="shared" ref="D22:P22" si="6">D21/D6</f>
        <v>0.19634266422844282</v>
      </c>
      <c r="E22" s="56">
        <f t="shared" si="6"/>
        <v>0.21152378529636226</v>
      </c>
      <c r="F22" s="56">
        <f t="shared" si="6"/>
        <v>0.22268305557650253</v>
      </c>
      <c r="G22" s="56">
        <f t="shared" si="6"/>
        <v>0.22437696691332823</v>
      </c>
      <c r="H22" s="56">
        <f t="shared" si="6"/>
        <v>0.22434504061320215</v>
      </c>
      <c r="I22" s="56">
        <f t="shared" si="6"/>
        <v>0.21475734565863322</v>
      </c>
      <c r="J22" s="56">
        <f t="shared" si="6"/>
        <v>0.21718689414501746</v>
      </c>
      <c r="K22" s="56">
        <f t="shared" si="6"/>
        <v>0.21368482755342913</v>
      </c>
      <c r="L22" s="56">
        <f t="shared" si="6"/>
        <v>0.21260160079419246</v>
      </c>
      <c r="M22" s="56">
        <f t="shared" si="6"/>
        <v>0.22034520705963123</v>
      </c>
      <c r="N22" s="56">
        <f t="shared" si="6"/>
        <v>0.21852604624570221</v>
      </c>
      <c r="O22" s="56">
        <f t="shared" si="6"/>
        <v>0.21688719944295362</v>
      </c>
      <c r="P22" s="56">
        <f t="shared" si="6"/>
        <v>0.21578548589207772</v>
      </c>
    </row>
    <row r="23" spans="2:16">
      <c r="B23" s="51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39"/>
      <c r="N23" s="39"/>
      <c r="O23" s="39"/>
      <c r="P23" s="39"/>
    </row>
    <row r="24" spans="2:16">
      <c r="B24" s="51" t="s">
        <v>10</v>
      </c>
      <c r="C24" s="52">
        <f>'Data Sheet'!B27</f>
        <v>35</v>
      </c>
      <c r="D24" s="52">
        <f>'Data Sheet'!C27</f>
        <v>26</v>
      </c>
      <c r="E24" s="52">
        <f>'Data Sheet'!D27</f>
        <v>33</v>
      </c>
      <c r="F24" s="52">
        <f>'Data Sheet'!E27</f>
        <v>118</v>
      </c>
      <c r="G24" s="52">
        <f>'Data Sheet'!F27</f>
        <v>117</v>
      </c>
      <c r="H24" s="52">
        <f>'Data Sheet'!G27</f>
        <v>106</v>
      </c>
      <c r="I24" s="52">
        <f>'Data Sheet'!H27</f>
        <v>114</v>
      </c>
      <c r="J24" s="52">
        <f>'Data Sheet'!I27</f>
        <v>334</v>
      </c>
      <c r="K24" s="52">
        <f>'Data Sheet'!J27</f>
        <v>395</v>
      </c>
      <c r="L24" s="52">
        <f>'Data Sheet'!K27</f>
        <v>410</v>
      </c>
      <c r="M24" s="53">
        <f>FORECAST(M$3,C24:L24,C$3:L$3)</f>
        <v>416.76850509274209</v>
      </c>
      <c r="N24" s="53">
        <f>FORECAST(N$3,D24:M24,D$3:M$3)</f>
        <v>480.25103545298407</v>
      </c>
      <c r="O24" s="53">
        <f>FORECAST(O$3,E24:N24,E$3:N$3)</f>
        <v>541.29813626454506</v>
      </c>
      <c r="P24" s="53">
        <f>FORECAST(P$3,F24:O24,F$3:O$3)</f>
        <v>598.36985129145341</v>
      </c>
    </row>
    <row r="25" spans="2:16">
      <c r="B25" s="51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39"/>
      <c r="N25" s="39"/>
      <c r="O25" s="39"/>
      <c r="P25" s="39"/>
    </row>
    <row r="26" spans="2:16">
      <c r="B26" s="58" t="s">
        <v>131</v>
      </c>
      <c r="C26" s="59">
        <f>C21-C24</f>
        <v>5861</v>
      </c>
      <c r="D26" s="59">
        <f t="shared" ref="D26:P26" si="7">D21-D24</f>
        <v>6953</v>
      </c>
      <c r="E26" s="59">
        <f t="shared" si="7"/>
        <v>8282</v>
      </c>
      <c r="F26" s="59">
        <f t="shared" si="7"/>
        <v>8741</v>
      </c>
      <c r="G26" s="59">
        <f t="shared" si="7"/>
        <v>10435</v>
      </c>
      <c r="H26" s="59">
        <f t="shared" si="7"/>
        <v>11660</v>
      </c>
      <c r="I26" s="59">
        <f t="shared" si="7"/>
        <v>12896</v>
      </c>
      <c r="J26" s="59">
        <f t="shared" si="7"/>
        <v>13109</v>
      </c>
      <c r="K26" s="59">
        <f t="shared" si="7"/>
        <v>13093</v>
      </c>
      <c r="L26" s="59">
        <f t="shared" si="7"/>
        <v>13296</v>
      </c>
      <c r="M26" s="60">
        <f t="shared" si="7"/>
        <v>15355.546508524123</v>
      </c>
      <c r="N26" s="60">
        <f t="shared" si="7"/>
        <v>16105.371091192621</v>
      </c>
      <c r="O26" s="60">
        <f t="shared" si="7"/>
        <v>16813.643869046282</v>
      </c>
      <c r="P26" s="60">
        <f t="shared" si="7"/>
        <v>17549.716907916449</v>
      </c>
    </row>
    <row r="27" spans="2:16">
      <c r="B27" s="54" t="s">
        <v>132</v>
      </c>
      <c r="C27" s="56">
        <f>C26/C6</f>
        <v>0.17673843555877208</v>
      </c>
      <c r="D27" s="56">
        <f t="shared" ref="D27:P27" si="8">D26/D6</f>
        <v>0.19561119707413138</v>
      </c>
      <c r="E27" s="56">
        <f t="shared" si="8"/>
        <v>0.21068430424828288</v>
      </c>
      <c r="F27" s="56">
        <f t="shared" si="8"/>
        <v>0.21971696453258929</v>
      </c>
      <c r="G27" s="56">
        <f t="shared" si="8"/>
        <v>0.22188908735221571</v>
      </c>
      <c r="H27" s="56">
        <f t="shared" si="8"/>
        <v>0.22232391412119132</v>
      </c>
      <c r="I27" s="56">
        <f t="shared" si="8"/>
        <v>0.21287553648068669</v>
      </c>
      <c r="J27" s="56">
        <f t="shared" si="8"/>
        <v>0.2117907457670932</v>
      </c>
      <c r="K27" s="56">
        <f t="shared" si="8"/>
        <v>0.20742700527558183</v>
      </c>
      <c r="L27" s="56">
        <f t="shared" si="8"/>
        <v>0.20624185642489298</v>
      </c>
      <c r="M27" s="56">
        <f t="shared" si="8"/>
        <v>0.21452279338913896</v>
      </c>
      <c r="N27" s="56">
        <f t="shared" si="8"/>
        <v>0.21219843554882384</v>
      </c>
      <c r="O27" s="56">
        <f t="shared" si="8"/>
        <v>0.21012251899618628</v>
      </c>
      <c r="P27" s="56">
        <f t="shared" si="8"/>
        <v>0.208670712262368</v>
      </c>
    </row>
    <row r="28" spans="2:16">
      <c r="B28" s="51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39"/>
      <c r="N28" s="39"/>
      <c r="O28" s="39"/>
      <c r="P28" s="39"/>
    </row>
    <row r="29" spans="2:16">
      <c r="B29" s="51" t="s">
        <v>12</v>
      </c>
      <c r="C29" s="52">
        <f>'Data Sheet'!B29</f>
        <v>1977</v>
      </c>
      <c r="D29" s="52">
        <f>'Data Sheet'!C29</f>
        <v>2079</v>
      </c>
      <c r="E29" s="52">
        <f>'Data Sheet'!D29</f>
        <v>2544</v>
      </c>
      <c r="F29" s="52">
        <f>'Data Sheet'!E29</f>
        <v>2409</v>
      </c>
      <c r="G29" s="52">
        <f>'Data Sheet'!F29</f>
        <v>2606</v>
      </c>
      <c r="H29" s="52">
        <f>'Data Sheet'!G29</f>
        <v>2987</v>
      </c>
      <c r="I29" s="52">
        <f>'Data Sheet'!H29</f>
        <v>3201</v>
      </c>
      <c r="J29" s="52">
        <f>'Data Sheet'!I29</f>
        <v>3644</v>
      </c>
      <c r="K29" s="52">
        <f>'Data Sheet'!J29</f>
        <v>3744</v>
      </c>
      <c r="L29" s="52">
        <f>'Data Sheet'!K29</f>
        <v>3160</v>
      </c>
      <c r="M29" s="53">
        <f>FORECAST(M$3,C29:L29,C$3:L$3)</f>
        <v>3853.5411555469291</v>
      </c>
      <c r="N29" s="53">
        <f>FORECAST(N$3,D29:M29,D$3:M$3)</f>
        <v>4032.026353028592</v>
      </c>
      <c r="O29" s="53">
        <f>FORECAST(O$3,E29:N29,E$3:N$3)</f>
        <v>4184.0732189740338</v>
      </c>
      <c r="P29" s="53">
        <f>FORECAST(P$3,F29:O29,F$3:O$3)</f>
        <v>4390.8040015501101</v>
      </c>
    </row>
    <row r="30" spans="2:16">
      <c r="B30" s="51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39"/>
      <c r="N30" s="39"/>
      <c r="O30" s="39"/>
      <c r="P30" s="39"/>
    </row>
    <row r="31" spans="2:16">
      <c r="B31" s="58" t="s">
        <v>133</v>
      </c>
      <c r="C31" s="59">
        <f>C26-C29</f>
        <v>3884</v>
      </c>
      <c r="D31" s="59">
        <f t="shared" ref="D31:P31" si="9">D26-D29</f>
        <v>4874</v>
      </c>
      <c r="E31" s="59">
        <f t="shared" si="9"/>
        <v>5738</v>
      </c>
      <c r="F31" s="59">
        <f t="shared" si="9"/>
        <v>6332</v>
      </c>
      <c r="G31" s="59">
        <f t="shared" si="9"/>
        <v>7829</v>
      </c>
      <c r="H31" s="59">
        <f t="shared" si="9"/>
        <v>8673</v>
      </c>
      <c r="I31" s="59">
        <f t="shared" si="9"/>
        <v>9695</v>
      </c>
      <c r="J31" s="59">
        <f t="shared" si="9"/>
        <v>9465</v>
      </c>
      <c r="K31" s="59">
        <f t="shared" si="9"/>
        <v>9349</v>
      </c>
      <c r="L31" s="59">
        <f t="shared" si="9"/>
        <v>10136</v>
      </c>
      <c r="M31" s="60">
        <f t="shared" si="9"/>
        <v>11502.005352977194</v>
      </c>
      <c r="N31" s="60">
        <f t="shared" si="9"/>
        <v>12073.344738164029</v>
      </c>
      <c r="O31" s="60">
        <f t="shared" si="9"/>
        <v>12629.570650072248</v>
      </c>
      <c r="P31" s="60">
        <f t="shared" si="9"/>
        <v>13158.912906366339</v>
      </c>
    </row>
    <row r="32" spans="2:16">
      <c r="B32" s="54" t="s">
        <v>134</v>
      </c>
      <c r="C32" s="56">
        <f>C31/C6</f>
        <v>0.11712200711657922</v>
      </c>
      <c r="D32" s="56">
        <f t="shared" ref="D32:P32" si="10">D31/D6</f>
        <v>0.1371219580813054</v>
      </c>
      <c r="E32" s="56">
        <f t="shared" si="10"/>
        <v>0.14596794708725516</v>
      </c>
      <c r="F32" s="56">
        <f t="shared" si="10"/>
        <v>0.15916346178015736</v>
      </c>
      <c r="G32" s="56">
        <f t="shared" si="10"/>
        <v>0.16647529131581185</v>
      </c>
      <c r="H32" s="56">
        <f t="shared" si="10"/>
        <v>0.16537009495481067</v>
      </c>
      <c r="I32" s="56">
        <f t="shared" si="10"/>
        <v>0.16003631561571477</v>
      </c>
      <c r="J32" s="56">
        <f t="shared" si="10"/>
        <v>0.15291779759596744</v>
      </c>
      <c r="K32" s="56">
        <f t="shared" si="10"/>
        <v>0.14811235563441644</v>
      </c>
      <c r="L32" s="56">
        <f t="shared" si="10"/>
        <v>0.15722529006638952</v>
      </c>
      <c r="M32" s="56">
        <f t="shared" si="10"/>
        <v>0.16068736573639877</v>
      </c>
      <c r="N32" s="56">
        <f t="shared" si="10"/>
        <v>0.15907394190259022</v>
      </c>
      <c r="O32" s="56">
        <f t="shared" si="10"/>
        <v>0.15783355586108364</v>
      </c>
      <c r="P32" s="56">
        <f t="shared" si="10"/>
        <v>0.15646290724674311</v>
      </c>
    </row>
    <row r="33" spans="1:16">
      <c r="B33" s="51"/>
    </row>
    <row r="34" spans="1:16">
      <c r="A34" s="10" t="s">
        <v>121</v>
      </c>
      <c r="B34" s="61" t="s">
        <v>135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</row>
    <row r="35" spans="1:16">
      <c r="B35" t="s">
        <v>30</v>
      </c>
      <c r="C35" s="52">
        <f>'Data Sheet'!B57</f>
        <v>216</v>
      </c>
      <c r="D35" s="52">
        <f>'Data Sheet'!C57</f>
        <v>216</v>
      </c>
      <c r="E35" s="52">
        <f>'Data Sheet'!D57</f>
        <v>216</v>
      </c>
      <c r="F35" s="52">
        <f>'Data Sheet'!E57</f>
        <v>216</v>
      </c>
      <c r="G35" s="52">
        <f>'Data Sheet'!F57</f>
        <v>235</v>
      </c>
      <c r="H35" s="52">
        <f>'Data Sheet'!G57</f>
        <v>235</v>
      </c>
      <c r="I35" s="52">
        <f>'Data Sheet'!H57</f>
        <v>235</v>
      </c>
      <c r="J35" s="52">
        <f>'Data Sheet'!I57</f>
        <v>235</v>
      </c>
      <c r="K35" s="52">
        <f>'Data Sheet'!J57</f>
        <v>235</v>
      </c>
      <c r="L35" s="52">
        <f>'Data Sheet'!K57</f>
        <v>235</v>
      </c>
      <c r="M35" s="53">
        <f>FORECAST(M$3,C35:L35,C$3:L$3)</f>
        <v>242.59678344373955</v>
      </c>
      <c r="N35" s="53">
        <f t="shared" ref="N35:P38" si="11">FORECAST(N$3,D35:M35,D$3:M$3)</f>
        <v>245.63436201381236</v>
      </c>
      <c r="O35" s="53">
        <f t="shared" si="11"/>
        <v>248.11505187137871</v>
      </c>
      <c r="P35" s="53">
        <f t="shared" si="11"/>
        <v>249.61299096827932</v>
      </c>
    </row>
    <row r="36" spans="1:16">
      <c r="B36" t="s">
        <v>31</v>
      </c>
      <c r="C36" s="52">
        <f>'Data Sheet'!B58</f>
        <v>6528</v>
      </c>
      <c r="D36" s="52">
        <f>'Data Sheet'!C58</f>
        <v>7065</v>
      </c>
      <c r="E36" s="52">
        <f>'Data Sheet'!D58</f>
        <v>7651</v>
      </c>
      <c r="F36" s="52">
        <f>'Data Sheet'!E58</f>
        <v>8013</v>
      </c>
      <c r="G36" s="52">
        <f>'Data Sheet'!F58</f>
        <v>47439</v>
      </c>
      <c r="H36" s="52">
        <f>'Data Sheet'!G58</f>
        <v>48826</v>
      </c>
      <c r="I36" s="52">
        <f>'Data Sheet'!H58</f>
        <v>50069</v>
      </c>
      <c r="J36" s="52">
        <f>'Data Sheet'!I58</f>
        <v>50983</v>
      </c>
      <c r="K36" s="52">
        <f>'Data Sheet'!J58</f>
        <v>49167</v>
      </c>
      <c r="L36" s="52">
        <f>'Data Sheet'!K58</f>
        <v>48504</v>
      </c>
      <c r="M36" s="53">
        <f>FORECAST(M$3,C36:L36,C$3:L$3)</f>
        <v>66307.820145663456</v>
      </c>
      <c r="N36" s="53">
        <f t="shared" si="11"/>
        <v>72952.942912272643</v>
      </c>
      <c r="O36" s="53">
        <f t="shared" si="11"/>
        <v>78416.614466355881</v>
      </c>
      <c r="P36" s="53">
        <f t="shared" si="11"/>
        <v>81830.833957992261</v>
      </c>
    </row>
    <row r="37" spans="1:16">
      <c r="B37" t="s">
        <v>32</v>
      </c>
      <c r="C37" s="52">
        <f>'Data Sheet'!B59</f>
        <v>277</v>
      </c>
      <c r="D37" s="52">
        <f>'Data Sheet'!C59</f>
        <v>0</v>
      </c>
      <c r="E37" s="52">
        <f>'Data Sheet'!D59</f>
        <v>99</v>
      </c>
      <c r="F37" s="52">
        <f>'Data Sheet'!E59</f>
        <v>0</v>
      </c>
      <c r="G37" s="52">
        <f>'Data Sheet'!F59</f>
        <v>0</v>
      </c>
      <c r="H37" s="52">
        <f>'Data Sheet'!G59</f>
        <v>1043</v>
      </c>
      <c r="I37" s="52">
        <f>'Data Sheet'!H59</f>
        <v>1219</v>
      </c>
      <c r="J37" s="52">
        <f>'Data Sheet'!I59</f>
        <v>1484</v>
      </c>
      <c r="K37" s="52">
        <f>'Data Sheet'!J59</f>
        <v>1648</v>
      </c>
      <c r="L37" s="52">
        <f>'Data Sheet'!K59</f>
        <v>1478</v>
      </c>
      <c r="M37" s="53">
        <f>FORECAST(M$3,C37:L37,C$3:L$3)</f>
        <v>1856.8914785613088</v>
      </c>
      <c r="N37" s="53">
        <f t="shared" si="11"/>
        <v>2190.181341038242</v>
      </c>
      <c r="O37" s="53">
        <f t="shared" si="11"/>
        <v>2477.718655746361</v>
      </c>
      <c r="P37" s="53">
        <f t="shared" si="11"/>
        <v>2760.7683049199768</v>
      </c>
    </row>
    <row r="38" spans="1:16">
      <c r="B38" t="s">
        <v>33</v>
      </c>
      <c r="C38" s="52">
        <f>'Data Sheet'!B60-C39</f>
        <v>2499</v>
      </c>
      <c r="D38" s="52">
        <f>'Data Sheet'!C60-D39</f>
        <v>3411</v>
      </c>
      <c r="E38" s="52">
        <f>'Data Sheet'!D60-E39</f>
        <v>3457</v>
      </c>
      <c r="F38" s="52">
        <f>'Data Sheet'!E60-F39</f>
        <v>4389</v>
      </c>
      <c r="G38" s="52">
        <f>'Data Sheet'!F60-G39</f>
        <v>12264</v>
      </c>
      <c r="H38" s="52">
        <f>'Data Sheet'!G60-H39</f>
        <v>11334</v>
      </c>
      <c r="I38" s="52">
        <f>'Data Sheet'!H60-I39</f>
        <v>11980</v>
      </c>
      <c r="J38" s="52">
        <f>'Data Sheet'!I60-J39</f>
        <v>15301</v>
      </c>
      <c r="K38" s="52">
        <f>'Data Sheet'!J60-K39</f>
        <v>17498</v>
      </c>
      <c r="L38" s="52">
        <f>'Data Sheet'!K60-L39</f>
        <v>16210</v>
      </c>
      <c r="M38" s="53">
        <f>FORECAST(M$3,C38:L38,C$3:L$3)</f>
        <v>19934.849679874838</v>
      </c>
      <c r="N38" s="53">
        <f t="shared" si="11"/>
        <v>22018.205883899151</v>
      </c>
      <c r="O38" s="53">
        <f t="shared" si="11"/>
        <v>24016.479840518557</v>
      </c>
      <c r="P38" s="53">
        <f t="shared" si="11"/>
        <v>25586.473926853301</v>
      </c>
    </row>
    <row r="39" spans="1:16">
      <c r="B39" t="s">
        <v>136</v>
      </c>
      <c r="C39" s="52">
        <v>6186</v>
      </c>
      <c r="D39" s="52">
        <v>7170</v>
      </c>
      <c r="E39" s="52">
        <v>7206</v>
      </c>
      <c r="F39" s="52">
        <v>7535</v>
      </c>
      <c r="G39" s="52">
        <v>8802</v>
      </c>
      <c r="H39" s="52">
        <v>9068</v>
      </c>
      <c r="I39" s="52">
        <v>9574</v>
      </c>
      <c r="J39" s="52">
        <v>10486</v>
      </c>
      <c r="K39" s="52">
        <v>11315</v>
      </c>
      <c r="L39" s="52">
        <v>13325</v>
      </c>
      <c r="M39" s="53">
        <f>FORECAST(M$3,C39:L39,C$3:L$3)</f>
        <v>12934.191968898827</v>
      </c>
      <c r="N39" s="53">
        <f>FORECAST(N$3,D39:M39,D$3:M$3)</f>
        <v>13712.710789054254</v>
      </c>
      <c r="O39" s="53">
        <f>FORECAST(O$3,E39:N39,E$3:N$3)</f>
        <v>14615.41590530047</v>
      </c>
      <c r="P39" s="53">
        <f>FORECAST(P$3,F39:O39,F$3:O$3)</f>
        <v>15452.954896588635</v>
      </c>
    </row>
    <row r="40" spans="1:16"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39"/>
      <c r="N40" s="39"/>
      <c r="O40" s="39"/>
      <c r="P40" s="39"/>
    </row>
    <row r="41" spans="1:16">
      <c r="B41" s="12" t="s">
        <v>137</v>
      </c>
      <c r="C41" s="62">
        <f>SUM(C35:C39)</f>
        <v>15706</v>
      </c>
      <c r="D41" s="62">
        <f t="shared" ref="D41:P41" si="12">SUM(D35:D39)</f>
        <v>17862</v>
      </c>
      <c r="E41" s="62">
        <f t="shared" si="12"/>
        <v>18629</v>
      </c>
      <c r="F41" s="62">
        <f t="shared" si="12"/>
        <v>20153</v>
      </c>
      <c r="G41" s="62">
        <f t="shared" si="12"/>
        <v>68740</v>
      </c>
      <c r="H41" s="62">
        <f t="shared" si="12"/>
        <v>70506</v>
      </c>
      <c r="I41" s="62">
        <f t="shared" si="12"/>
        <v>73077</v>
      </c>
      <c r="J41" s="62">
        <f t="shared" si="12"/>
        <v>78489</v>
      </c>
      <c r="K41" s="62">
        <f t="shared" si="12"/>
        <v>79863</v>
      </c>
      <c r="L41" s="62">
        <f t="shared" si="12"/>
        <v>79752</v>
      </c>
      <c r="M41" s="62">
        <f t="shared" si="12"/>
        <v>101276.35005644216</v>
      </c>
      <c r="N41" s="62">
        <f t="shared" si="12"/>
        <v>111119.6752882781</v>
      </c>
      <c r="O41" s="62">
        <f t="shared" si="12"/>
        <v>119774.34391979265</v>
      </c>
      <c r="P41" s="62">
        <f t="shared" si="12"/>
        <v>125880.64407732245</v>
      </c>
    </row>
    <row r="42" spans="1:16"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39"/>
      <c r="N42" s="39"/>
      <c r="O42" s="39"/>
      <c r="P42" s="39"/>
    </row>
    <row r="43" spans="1:16">
      <c r="B43" t="s">
        <v>35</v>
      </c>
      <c r="C43" s="52">
        <f>'Data Sheet'!B62</f>
        <v>4419</v>
      </c>
      <c r="D43" s="52">
        <f>'Data Sheet'!C62</f>
        <v>4528</v>
      </c>
      <c r="E43" s="52">
        <f>'Data Sheet'!D62</f>
        <v>4715</v>
      </c>
      <c r="F43" s="52">
        <f>'Data Sheet'!E62</f>
        <v>5479</v>
      </c>
      <c r="G43" s="52">
        <f>'Data Sheet'!F62</f>
        <v>51443</v>
      </c>
      <c r="H43" s="52">
        <f>'Data Sheet'!G62</f>
        <v>51473</v>
      </c>
      <c r="I43" s="52">
        <f>'Data Sheet'!H62</f>
        <v>52678</v>
      </c>
      <c r="J43" s="52">
        <f>'Data Sheet'!I62</f>
        <v>53744</v>
      </c>
      <c r="K43" s="52">
        <f>'Data Sheet'!J62</f>
        <v>54335</v>
      </c>
      <c r="L43" s="52">
        <f>'Data Sheet'!K62</f>
        <v>57428</v>
      </c>
      <c r="M43" s="53">
        <f t="shared" ref="M43:M50" si="13">FORECAST(M$3,C43:L43,C$3:L$3)</f>
        <v>74432.432030668366</v>
      </c>
      <c r="N43" s="53">
        <f t="shared" ref="N43:N50" si="14">FORECAST(N$3,D43:M43,D$3:M$3)</f>
        <v>82697.901299562538</v>
      </c>
      <c r="O43" s="53">
        <f t="shared" ref="O43:O50" si="15">FORECAST(O$3,E43:N43,E$3:N$3)</f>
        <v>89634.282827348448</v>
      </c>
      <c r="P43" s="53">
        <f t="shared" ref="P43:P50" si="16">FORECAST(P$3,F43:O43,F$3:O$3)</f>
        <v>94185.565523384023</v>
      </c>
    </row>
    <row r="44" spans="1:16">
      <c r="B44" t="s">
        <v>36</v>
      </c>
      <c r="C44" s="52">
        <f>'Data Sheet'!B63</f>
        <v>229</v>
      </c>
      <c r="D44" s="52">
        <f>'Data Sheet'!C63</f>
        <v>461</v>
      </c>
      <c r="E44" s="52">
        <f>'Data Sheet'!D63</f>
        <v>406</v>
      </c>
      <c r="F44" s="52">
        <f>'Data Sheet'!E63</f>
        <v>597</v>
      </c>
      <c r="G44" s="52">
        <f>'Data Sheet'!F63</f>
        <v>745</v>
      </c>
      <c r="H44" s="52">
        <f>'Data Sheet'!G63</f>
        <v>1313</v>
      </c>
      <c r="I44" s="52">
        <f>'Data Sheet'!H63</f>
        <v>1132</v>
      </c>
      <c r="J44" s="52">
        <f>'Data Sheet'!I63</f>
        <v>1025</v>
      </c>
      <c r="K44" s="52">
        <f>'Data Sheet'!J63</f>
        <v>1009</v>
      </c>
      <c r="L44" s="52">
        <f>'Data Sheet'!K63</f>
        <v>880</v>
      </c>
      <c r="M44" s="53">
        <f t="shared" si="13"/>
        <v>1278.3515622480863</v>
      </c>
      <c r="N44" s="53">
        <f t="shared" si="14"/>
        <v>1330.943114141437</v>
      </c>
      <c r="O44" s="53">
        <f t="shared" si="15"/>
        <v>1396.4997653588325</v>
      </c>
      <c r="P44" s="53">
        <f t="shared" si="16"/>
        <v>1415.6256741107445</v>
      </c>
    </row>
    <row r="45" spans="1:16">
      <c r="B45" t="s">
        <v>37</v>
      </c>
      <c r="C45" s="52">
        <f>'Data Sheet'!B64</f>
        <v>3794</v>
      </c>
      <c r="D45" s="52">
        <f>'Data Sheet'!C64</f>
        <v>2873</v>
      </c>
      <c r="E45" s="52">
        <f>'Data Sheet'!D64</f>
        <v>2716</v>
      </c>
      <c r="F45" s="52">
        <f>'Data Sheet'!E64</f>
        <v>1255</v>
      </c>
      <c r="G45" s="52">
        <f>'Data Sheet'!F64</f>
        <v>2709</v>
      </c>
      <c r="H45" s="52">
        <f>'Data Sheet'!G64</f>
        <v>3521</v>
      </c>
      <c r="I45" s="52">
        <f>'Data Sheet'!H64</f>
        <v>2882</v>
      </c>
      <c r="J45" s="52">
        <f>'Data Sheet'!I64</f>
        <v>4625</v>
      </c>
      <c r="K45" s="52">
        <f>'Data Sheet'!J64</f>
        <v>3810</v>
      </c>
      <c r="L45" s="52">
        <f>'Data Sheet'!K64</f>
        <v>4359</v>
      </c>
      <c r="M45" s="53">
        <f t="shared" si="13"/>
        <v>4150.2863061336575</v>
      </c>
      <c r="N45" s="53">
        <f t="shared" si="14"/>
        <v>4652.3197996319832</v>
      </c>
      <c r="O45" s="53">
        <f t="shared" si="15"/>
        <v>5085.994627519307</v>
      </c>
      <c r="P45" s="53">
        <f t="shared" si="16"/>
        <v>5532.8346279156976</v>
      </c>
    </row>
    <row r="46" spans="1:16">
      <c r="B46" t="s">
        <v>38</v>
      </c>
      <c r="C46" s="52">
        <f>'Data Sheet'!B65-SUM('Data Sheet'!B67:B69)</f>
        <v>1810</v>
      </c>
      <c r="D46" s="52">
        <f>'Data Sheet'!C65-SUM('Data Sheet'!C67:C69)</f>
        <v>2692</v>
      </c>
      <c r="E46" s="52">
        <f>'Data Sheet'!D65-SUM('Data Sheet'!D67:D69)</f>
        <v>2645</v>
      </c>
      <c r="F46" s="52">
        <f>'Data Sheet'!E65-SUM('Data Sheet'!E67:E69)</f>
        <v>3793</v>
      </c>
      <c r="G46" s="52">
        <f>'Data Sheet'!F65-SUM('Data Sheet'!F67:F69)</f>
        <v>4035</v>
      </c>
      <c r="H46" s="52">
        <f>'Data Sheet'!G65-SUM('Data Sheet'!G67:G69)</f>
        <v>4021</v>
      </c>
      <c r="I46" s="52">
        <f>'Data Sheet'!H65-SUM('Data Sheet'!H67:H69)</f>
        <v>4377</v>
      </c>
      <c r="J46" s="52">
        <f>'Data Sheet'!I65-SUM('Data Sheet'!I67:I69)</f>
        <v>4517</v>
      </c>
      <c r="K46" s="52">
        <f>'Data Sheet'!J65-SUM('Data Sheet'!J67:J69)</f>
        <v>4921</v>
      </c>
      <c r="L46" s="52">
        <f>'Data Sheet'!K65-SUM('Data Sheet'!K67:K69)</f>
        <v>5669</v>
      </c>
      <c r="M46" s="53">
        <f t="shared" si="13"/>
        <v>5895.3512793490081</v>
      </c>
      <c r="N46" s="53">
        <f t="shared" si="14"/>
        <v>6170.7333548734823</v>
      </c>
      <c r="O46" s="53">
        <f t="shared" si="15"/>
        <v>6519.2031735966229</v>
      </c>
      <c r="P46" s="53">
        <f t="shared" si="16"/>
        <v>6762.7106721818272</v>
      </c>
    </row>
    <row r="47" spans="1:16">
      <c r="B47" s="63" t="s">
        <v>138</v>
      </c>
      <c r="C47" s="64">
        <f>SUM(C43:C46)</f>
        <v>10252</v>
      </c>
      <c r="D47" s="64">
        <f t="shared" ref="D47:P47" si="17">SUM(D43:D46)</f>
        <v>10554</v>
      </c>
      <c r="E47" s="64">
        <f t="shared" si="17"/>
        <v>10482</v>
      </c>
      <c r="F47" s="64">
        <f t="shared" si="17"/>
        <v>11124</v>
      </c>
      <c r="G47" s="64">
        <f t="shared" si="17"/>
        <v>58932</v>
      </c>
      <c r="H47" s="64">
        <f t="shared" si="17"/>
        <v>60328</v>
      </c>
      <c r="I47" s="64">
        <f t="shared" si="17"/>
        <v>61069</v>
      </c>
      <c r="J47" s="64">
        <f t="shared" si="17"/>
        <v>63911</v>
      </c>
      <c r="K47" s="64">
        <f t="shared" si="17"/>
        <v>64075</v>
      </c>
      <c r="L47" s="64">
        <f t="shared" si="17"/>
        <v>68336</v>
      </c>
      <c r="M47" s="65">
        <f t="shared" si="17"/>
        <v>85756.42117839912</v>
      </c>
      <c r="N47" s="65">
        <f t="shared" si="17"/>
        <v>94851.897568209446</v>
      </c>
      <c r="O47" s="65">
        <f t="shared" si="17"/>
        <v>102635.98039382321</v>
      </c>
      <c r="P47" s="65">
        <f t="shared" si="17"/>
        <v>107896.7364975923</v>
      </c>
    </row>
    <row r="48" spans="1:16">
      <c r="B48" t="s">
        <v>86</v>
      </c>
      <c r="C48" s="52">
        <f>'Data Sheet'!B67</f>
        <v>1085</v>
      </c>
      <c r="D48" s="52">
        <f>'Data Sheet'!C67</f>
        <v>1310</v>
      </c>
      <c r="E48" s="52">
        <f>'Data Sheet'!D67</f>
        <v>1816</v>
      </c>
      <c r="F48" s="52">
        <f>'Data Sheet'!E67</f>
        <v>1149</v>
      </c>
      <c r="G48" s="52">
        <f>'Data Sheet'!F67</f>
        <v>1758</v>
      </c>
      <c r="H48" s="52">
        <f>'Data Sheet'!G67</f>
        <v>2236</v>
      </c>
      <c r="I48" s="52">
        <f>'Data Sheet'!H67</f>
        <v>3079</v>
      </c>
      <c r="J48" s="52">
        <f>'Data Sheet'!I67</f>
        <v>2997</v>
      </c>
      <c r="K48" s="52">
        <f>'Data Sheet'!J67</f>
        <v>3819</v>
      </c>
      <c r="L48" s="52">
        <f>'Data Sheet'!K67</f>
        <v>3379</v>
      </c>
      <c r="M48" s="53">
        <f t="shared" si="13"/>
        <v>3941.7873582625616</v>
      </c>
      <c r="N48" s="53">
        <f t="shared" si="14"/>
        <v>4299.1669805328347</v>
      </c>
      <c r="O48" s="53">
        <f t="shared" si="15"/>
        <v>4669.1718117917844</v>
      </c>
      <c r="P48" s="53">
        <f t="shared" si="16"/>
        <v>5122.9981110242734</v>
      </c>
    </row>
    <row r="49" spans="1:16">
      <c r="B49" t="s">
        <v>41</v>
      </c>
      <c r="C49" s="52">
        <f>'Data Sheet'!B68</f>
        <v>2541</v>
      </c>
      <c r="D49" s="52">
        <f>'Data Sheet'!C68</f>
        <v>2513</v>
      </c>
      <c r="E49" s="52">
        <f>'Data Sheet'!D68</f>
        <v>2574</v>
      </c>
      <c r="F49" s="52">
        <f>'Data Sheet'!E68</f>
        <v>2767</v>
      </c>
      <c r="G49" s="52">
        <f>'Data Sheet'!F68</f>
        <v>3579</v>
      </c>
      <c r="H49" s="52">
        <f>'Data Sheet'!G68</f>
        <v>4096</v>
      </c>
      <c r="I49" s="52">
        <f>'Data Sheet'!H68</f>
        <v>4251</v>
      </c>
      <c r="J49" s="52">
        <f>'Data Sheet'!I68</f>
        <v>4022</v>
      </c>
      <c r="K49" s="52">
        <f>'Data Sheet'!J68</f>
        <v>4415</v>
      </c>
      <c r="L49" s="52">
        <f>'Data Sheet'!K68</f>
        <v>4789</v>
      </c>
      <c r="M49" s="53">
        <f t="shared" si="13"/>
        <v>5079.521768605784</v>
      </c>
      <c r="N49" s="53">
        <f t="shared" si="14"/>
        <v>5419.0007705134594</v>
      </c>
      <c r="O49" s="53">
        <f t="shared" si="15"/>
        <v>5717.6985300260858</v>
      </c>
      <c r="P49" s="53">
        <f t="shared" si="16"/>
        <v>5958.5026334667054</v>
      </c>
    </row>
    <row r="50" spans="1:16">
      <c r="B50" t="s">
        <v>87</v>
      </c>
      <c r="C50" s="52">
        <f>'Data Sheet'!B69</f>
        <v>1828</v>
      </c>
      <c r="D50" s="52">
        <f>'Data Sheet'!C69</f>
        <v>3485</v>
      </c>
      <c r="E50" s="52">
        <f>'Data Sheet'!D69</f>
        <v>3757</v>
      </c>
      <c r="F50" s="52">
        <f>'Data Sheet'!E69</f>
        <v>5113</v>
      </c>
      <c r="G50" s="52">
        <f>'Data Sheet'!F69</f>
        <v>4471</v>
      </c>
      <c r="H50" s="52">
        <f>'Data Sheet'!G69</f>
        <v>3846</v>
      </c>
      <c r="I50" s="52">
        <f>'Data Sheet'!H69</f>
        <v>4678</v>
      </c>
      <c r="J50" s="52">
        <f>'Data Sheet'!I69</f>
        <v>7559</v>
      </c>
      <c r="K50" s="52">
        <f>'Data Sheet'!J69</f>
        <v>7554</v>
      </c>
      <c r="L50" s="52">
        <f>'Data Sheet'!K69</f>
        <v>3248</v>
      </c>
      <c r="M50" s="53">
        <f t="shared" si="13"/>
        <v>6498.619751174745</v>
      </c>
      <c r="N50" s="53">
        <f t="shared" si="14"/>
        <v>6549.6099690224437</v>
      </c>
      <c r="O50" s="53">
        <f t="shared" si="15"/>
        <v>6751.4931841516154</v>
      </c>
      <c r="P50" s="53">
        <f t="shared" si="16"/>
        <v>6902.4068352390968</v>
      </c>
    </row>
    <row r="51" spans="1:16">
      <c r="B51" s="63" t="s">
        <v>139</v>
      </c>
      <c r="C51" s="64">
        <f>SUM('Historical FS'!C48:C50)</f>
        <v>5454</v>
      </c>
      <c r="D51" s="64">
        <f>SUM('Historical FS'!D48:D50)</f>
        <v>7308</v>
      </c>
      <c r="E51" s="64">
        <f>SUM('Historical FS'!E48:E50)</f>
        <v>8147</v>
      </c>
      <c r="F51" s="64">
        <f>SUM('Historical FS'!F48:F50)</f>
        <v>9029</v>
      </c>
      <c r="G51" s="64">
        <f>SUM('Historical FS'!G48:G50)</f>
        <v>9808</v>
      </c>
      <c r="H51" s="64">
        <f>SUM('Historical FS'!H48:H50)</f>
        <v>10178</v>
      </c>
      <c r="I51" s="64">
        <f>SUM('Historical FS'!I48:I50)</f>
        <v>12008</v>
      </c>
      <c r="J51" s="64">
        <f>SUM('Historical FS'!J48:J50)</f>
        <v>14578</v>
      </c>
      <c r="K51" s="64">
        <f>SUM('Historical FS'!K48:K50)</f>
        <v>15788</v>
      </c>
      <c r="L51" s="64">
        <f>SUM('Historical FS'!L48:L50)</f>
        <v>11416</v>
      </c>
      <c r="M51" s="65">
        <f>SUM('Historical FS'!M48:M50)</f>
        <v>15519.928878043091</v>
      </c>
      <c r="N51" s="65">
        <f>SUM('Historical FS'!N48:N50)</f>
        <v>16267.777720068738</v>
      </c>
      <c r="O51" s="65">
        <f>SUM('Historical FS'!O48:O50)</f>
        <v>17138.363525969486</v>
      </c>
      <c r="P51" s="65">
        <f>SUM('Historical FS'!P48:P50)</f>
        <v>17983.907579730076</v>
      </c>
    </row>
    <row r="52" spans="1:16"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39"/>
      <c r="N52" s="39"/>
      <c r="O52" s="39"/>
      <c r="P52" s="39"/>
    </row>
    <row r="53" spans="1:16">
      <c r="B53" s="12" t="s">
        <v>140</v>
      </c>
      <c r="C53" s="62">
        <f>SUM(C47,C51)</f>
        <v>15706</v>
      </c>
      <c r="D53" s="62">
        <f t="shared" ref="D53:P53" si="18">SUM(D47,D51)</f>
        <v>17862</v>
      </c>
      <c r="E53" s="62">
        <f t="shared" si="18"/>
        <v>18629</v>
      </c>
      <c r="F53" s="62">
        <f t="shared" si="18"/>
        <v>20153</v>
      </c>
      <c r="G53" s="62">
        <f t="shared" si="18"/>
        <v>68740</v>
      </c>
      <c r="H53" s="62">
        <f t="shared" si="18"/>
        <v>70506</v>
      </c>
      <c r="I53" s="62">
        <f t="shared" si="18"/>
        <v>73077</v>
      </c>
      <c r="J53" s="62">
        <f t="shared" si="18"/>
        <v>78489</v>
      </c>
      <c r="K53" s="62">
        <f t="shared" si="18"/>
        <v>79863</v>
      </c>
      <c r="L53" s="62">
        <f t="shared" si="18"/>
        <v>79752</v>
      </c>
      <c r="M53" s="66">
        <f t="shared" si="18"/>
        <v>101276.35005644221</v>
      </c>
      <c r="N53" s="66">
        <f t="shared" si="18"/>
        <v>111119.67528827819</v>
      </c>
      <c r="O53" s="66">
        <f t="shared" si="18"/>
        <v>119774.34391979269</v>
      </c>
      <c r="P53" s="66">
        <f t="shared" si="18"/>
        <v>125880.64407732237</v>
      </c>
    </row>
    <row r="54" spans="1:16">
      <c r="B54" s="10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8"/>
      <c r="N54" s="68"/>
      <c r="O54" s="68"/>
      <c r="P54" s="68"/>
    </row>
    <row r="55" spans="1:16">
      <c r="B55" t="s">
        <v>141</v>
      </c>
      <c r="C55" s="69">
        <f>'Data Sheet'!B70</f>
        <v>2164349639</v>
      </c>
      <c r="D55" s="69">
        <f>'Data Sheet'!C70</f>
        <v>2164528777</v>
      </c>
      <c r="E55" s="69">
        <f>'Data Sheet'!D70</f>
        <v>2164704405</v>
      </c>
      <c r="F55" s="69">
        <f>'Data Sheet'!E70</f>
        <v>2164704405</v>
      </c>
      <c r="G55" s="69">
        <f>'Data Sheet'!F70</f>
        <v>2349567819</v>
      </c>
      <c r="H55" s="69">
        <f>'Data Sheet'!G70</f>
        <v>2349591262</v>
      </c>
      <c r="I55" s="69">
        <f>'Data Sheet'!H70</f>
        <v>2349591262</v>
      </c>
      <c r="J55" s="69">
        <f>'Data Sheet'!I70</f>
        <v>2349591262</v>
      </c>
      <c r="K55" s="69">
        <f>'Data Sheet'!J70</f>
        <v>2349591262</v>
      </c>
      <c r="L55" s="69">
        <f>'Data Sheet'!K70</f>
        <v>0</v>
      </c>
      <c r="M55" s="70">
        <f>FORECAST(M$3,C55:L55,C$3:L$3)</f>
        <v>1483973730.0578194</v>
      </c>
      <c r="N55" s="70">
        <f>FORECAST(N$3,D55:M55,D$3:M$3)</f>
        <v>1294385782.3616982</v>
      </c>
      <c r="O55" s="70">
        <f>FORECAST(O$3,E55:N55,E$3:N$3)</f>
        <v>1074309182.4815979</v>
      </c>
      <c r="P55" s="70">
        <f>FORECAST(P$3,F55:O55,F$3:O$3)</f>
        <v>824158655.14914703</v>
      </c>
    </row>
    <row r="58" spans="1:16">
      <c r="A58" s="101" t="s">
        <v>121</v>
      </c>
      <c r="B58" s="49" t="s">
        <v>142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</row>
    <row r="59" spans="1:16">
      <c r="B59" s="10" t="s">
        <v>46</v>
      </c>
    </row>
    <row r="60" spans="1:16">
      <c r="B60" s="99" t="s">
        <v>92</v>
      </c>
      <c r="C60" s="71">
        <v>6512</v>
      </c>
      <c r="D60" s="71">
        <v>7485</v>
      </c>
      <c r="E60" s="71">
        <v>8909</v>
      </c>
      <c r="F60" s="71">
        <v>9723</v>
      </c>
      <c r="G60" s="71">
        <v>11672</v>
      </c>
      <c r="H60" s="71">
        <v>12829</v>
      </c>
      <c r="I60" s="71">
        <v>14089</v>
      </c>
      <c r="J60" s="71">
        <v>14537</v>
      </c>
      <c r="K60" s="71">
        <v>14942</v>
      </c>
      <c r="L60" s="71">
        <v>151153</v>
      </c>
      <c r="M60" s="72">
        <f t="shared" ref="M59:M92" si="19">FORECAST(M$3,C60:L60,C$3:L$3)</f>
        <v>71717.614316535997</v>
      </c>
      <c r="N60" s="72">
        <f t="shared" ref="N59:N92" si="20">FORECAST(N$3,D60:M60,D$3:M$3)</f>
        <v>85345.676239902386</v>
      </c>
      <c r="O60" s="72">
        <f t="shared" ref="O59:O92" si="21">FORECAST(O$3,E60:N60,E$3:N$3)</f>
        <v>100341.88021619082</v>
      </c>
      <c r="P60" s="72">
        <f t="shared" ref="P59:P92" si="22">FORECAST(P$3,F60:O60,F$3:O$3)</f>
        <v>116531.99006712181</v>
      </c>
    </row>
    <row r="61" spans="1:16">
      <c r="B61" t="s">
        <v>86</v>
      </c>
      <c r="C61" s="71">
        <v>173</v>
      </c>
      <c r="D61" s="71">
        <v>0</v>
      </c>
      <c r="E61" s="71">
        <v>0</v>
      </c>
      <c r="F61" s="71">
        <v>0</v>
      </c>
      <c r="G61" s="71">
        <v>0</v>
      </c>
      <c r="H61" s="71">
        <v>0</v>
      </c>
      <c r="I61" s="71">
        <v>0</v>
      </c>
      <c r="J61" s="71">
        <v>0</v>
      </c>
      <c r="K61" s="71">
        <v>0</v>
      </c>
      <c r="L61" s="71">
        <v>0</v>
      </c>
      <c r="M61" s="72">
        <f t="shared" si="19"/>
        <v>-34.585070920337785</v>
      </c>
      <c r="N61" s="72">
        <f t="shared" si="20"/>
        <v>-13.829437081939858</v>
      </c>
      <c r="O61" s="72">
        <f t="shared" si="21"/>
        <v>-17.055295469239638</v>
      </c>
      <c r="P61" s="72">
        <f t="shared" si="22"/>
        <v>-20.650967132828043</v>
      </c>
    </row>
    <row r="62" spans="1:16">
      <c r="B62" t="s">
        <v>41</v>
      </c>
      <c r="C62" s="71">
        <v>37</v>
      </c>
      <c r="D62" s="71">
        <v>-146</v>
      </c>
      <c r="E62" s="71">
        <v>-195</v>
      </c>
      <c r="F62" s="71">
        <v>-331</v>
      </c>
      <c r="G62" s="71">
        <v>-543</v>
      </c>
      <c r="H62" s="71">
        <v>-758</v>
      </c>
      <c r="I62" s="71">
        <v>-339</v>
      </c>
      <c r="J62" s="71">
        <v>74</v>
      </c>
      <c r="K62" s="71">
        <v>-584</v>
      </c>
      <c r="L62" s="71">
        <v>-692</v>
      </c>
      <c r="M62" s="72">
        <f t="shared" si="19"/>
        <v>-631.64272969945523</v>
      </c>
      <c r="N62" s="72">
        <f t="shared" si="20"/>
        <v>-642.63284792735976</v>
      </c>
      <c r="O62" s="72">
        <f t="shared" si="21"/>
        <v>-662.24712878565788</v>
      </c>
      <c r="P62" s="72">
        <f t="shared" si="22"/>
        <v>-669.66627216069264</v>
      </c>
    </row>
    <row r="63" spans="1:16">
      <c r="B63" t="s">
        <v>93</v>
      </c>
      <c r="C63" s="71">
        <v>501</v>
      </c>
      <c r="D63" s="71">
        <v>0</v>
      </c>
      <c r="E63" s="71">
        <v>0</v>
      </c>
      <c r="F63" s="71">
        <v>0</v>
      </c>
      <c r="G63" s="71">
        <v>0</v>
      </c>
      <c r="H63" s="71">
        <v>0</v>
      </c>
      <c r="I63" s="71">
        <v>0</v>
      </c>
      <c r="J63" s="71">
        <v>0</v>
      </c>
      <c r="K63" s="71">
        <v>0</v>
      </c>
      <c r="L63" s="71">
        <v>0</v>
      </c>
      <c r="M63" s="72">
        <f t="shared" si="19"/>
        <v>-100.15676607566047</v>
      </c>
      <c r="N63" s="72">
        <f t="shared" si="20"/>
        <v>-40.049410277756579</v>
      </c>
      <c r="O63" s="72">
        <f t="shared" si="21"/>
        <v>-49.39134699473459</v>
      </c>
      <c r="P63" s="72">
        <f t="shared" si="22"/>
        <v>-59.804245858652507</v>
      </c>
    </row>
    <row r="64" spans="1:16">
      <c r="B64" t="s">
        <v>94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2">
        <f t="shared" si="19"/>
        <v>0</v>
      </c>
      <c r="N64" s="72">
        <f t="shared" si="20"/>
        <v>0</v>
      </c>
      <c r="O64" s="72">
        <f t="shared" si="21"/>
        <v>0</v>
      </c>
      <c r="P64" s="72">
        <f t="shared" si="22"/>
        <v>0</v>
      </c>
    </row>
    <row r="65" spans="2:16">
      <c r="B65" t="s">
        <v>95</v>
      </c>
      <c r="C65" s="71">
        <v>-46</v>
      </c>
      <c r="D65" s="71">
        <v>0</v>
      </c>
      <c r="E65" s="71">
        <v>0</v>
      </c>
      <c r="F65" s="71">
        <v>0</v>
      </c>
      <c r="G65" s="71">
        <v>0</v>
      </c>
      <c r="H65" s="71">
        <v>0</v>
      </c>
      <c r="I65" s="71">
        <v>0</v>
      </c>
      <c r="J65" s="71">
        <v>0</v>
      </c>
      <c r="K65" s="71">
        <v>0</v>
      </c>
      <c r="L65" s="71">
        <v>0</v>
      </c>
      <c r="M65" s="72">
        <f t="shared" si="19"/>
        <v>9.196030418124451</v>
      </c>
      <c r="N65" s="72">
        <f t="shared" si="20"/>
        <v>3.6771913628279123</v>
      </c>
      <c r="O65" s="72">
        <f t="shared" si="21"/>
        <v>4.534934055404733</v>
      </c>
      <c r="P65" s="72">
        <f t="shared" si="22"/>
        <v>5.4910086017924016</v>
      </c>
    </row>
    <row r="66" spans="2:16">
      <c r="B66" t="s">
        <v>96</v>
      </c>
      <c r="C66" s="71">
        <v>-99</v>
      </c>
      <c r="D66" s="71">
        <v>982</v>
      </c>
      <c r="E66" s="71">
        <v>-147</v>
      </c>
      <c r="F66" s="71">
        <v>742</v>
      </c>
      <c r="G66" s="71">
        <v>442</v>
      </c>
      <c r="H66" s="71">
        <v>-242</v>
      </c>
      <c r="I66" s="71">
        <v>-621</v>
      </c>
      <c r="J66" s="71">
        <v>1239</v>
      </c>
      <c r="K66" s="71">
        <v>-204</v>
      </c>
      <c r="L66" s="71">
        <v>1378</v>
      </c>
      <c r="M66" s="72">
        <f t="shared" si="19"/>
        <v>585.35922254677553</v>
      </c>
      <c r="N66" s="72">
        <f t="shared" si="20"/>
        <v>561.78429720327767</v>
      </c>
      <c r="O66" s="72">
        <f t="shared" si="21"/>
        <v>771.37396152007204</v>
      </c>
      <c r="P66" s="72">
        <f t="shared" si="22"/>
        <v>791.79286440297346</v>
      </c>
    </row>
    <row r="67" spans="2:16">
      <c r="B67" s="99" t="s">
        <v>97</v>
      </c>
      <c r="C67" s="71">
        <v>566</v>
      </c>
      <c r="D67" s="71">
        <v>836</v>
      </c>
      <c r="E67" s="71">
        <v>-342</v>
      </c>
      <c r="F67" s="71">
        <v>411</v>
      </c>
      <c r="G67" s="71">
        <v>-101</v>
      </c>
      <c r="H67" s="71">
        <v>-1000</v>
      </c>
      <c r="I67" s="71">
        <v>-960</v>
      </c>
      <c r="J67" s="71">
        <v>1313</v>
      </c>
      <c r="K67" s="71">
        <v>-788</v>
      </c>
      <c r="L67" s="71">
        <v>686</v>
      </c>
      <c r="M67" s="72">
        <f t="shared" si="19"/>
        <v>-171.82931373055362</v>
      </c>
      <c r="N67" s="72">
        <f t="shared" si="20"/>
        <v>-131.05020672095043</v>
      </c>
      <c r="O67" s="72">
        <f t="shared" si="21"/>
        <v>47.215124325844045</v>
      </c>
      <c r="P67" s="72">
        <f t="shared" si="22"/>
        <v>47.162387852592474</v>
      </c>
    </row>
    <row r="68" spans="2:16">
      <c r="B68" t="s">
        <v>98</v>
      </c>
      <c r="C68" s="71">
        <v>-1859</v>
      </c>
      <c r="D68" s="71">
        <v>-2264</v>
      </c>
      <c r="E68" s="71">
        <v>-2767</v>
      </c>
      <c r="F68" s="71">
        <v>-2505</v>
      </c>
      <c r="G68" s="71">
        <v>-2407</v>
      </c>
      <c r="H68" s="71">
        <v>-2784</v>
      </c>
      <c r="I68" s="71">
        <v>-3138</v>
      </c>
      <c r="J68" s="71">
        <v>-381</v>
      </c>
      <c r="K68" s="71">
        <v>-2268</v>
      </c>
      <c r="L68" s="71">
        <v>-4840</v>
      </c>
      <c r="M68" s="72">
        <f t="shared" si="19"/>
        <v>-3094.3288836307347</v>
      </c>
      <c r="N68" s="72">
        <f t="shared" si="20"/>
        <v>-3146.9126016912342</v>
      </c>
      <c r="O68" s="72">
        <f t="shared" si="21"/>
        <v>-3246.1875838028136</v>
      </c>
      <c r="P68" s="72">
        <f t="shared" si="22"/>
        <v>-3460.5137089600121</v>
      </c>
    </row>
    <row r="69" spans="2:16">
      <c r="B69" t="s">
        <v>99</v>
      </c>
      <c r="C69" s="71">
        <v>-21</v>
      </c>
      <c r="D69" s="71"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2">
        <f t="shared" si="19"/>
        <v>4.1981877995785908</v>
      </c>
      <c r="N69" s="72">
        <f t="shared" si="20"/>
        <v>1.6787177960736273</v>
      </c>
      <c r="O69" s="72">
        <f t="shared" si="21"/>
        <v>2.070295981815228</v>
      </c>
      <c r="P69" s="72">
        <f t="shared" si="22"/>
        <v>2.5067647964704634</v>
      </c>
    </row>
    <row r="70" spans="2:16">
      <c r="B70" t="s">
        <v>100</v>
      </c>
      <c r="C70" s="71">
        <v>-13</v>
      </c>
      <c r="D70" s="71">
        <v>2</v>
      </c>
      <c r="E70" s="71">
        <v>0</v>
      </c>
      <c r="F70" s="71">
        <v>-6</v>
      </c>
      <c r="G70" s="71">
        <v>-1</v>
      </c>
      <c r="H70" s="71">
        <v>3</v>
      </c>
      <c r="I70" s="71">
        <v>0</v>
      </c>
      <c r="J70" s="71">
        <v>0</v>
      </c>
      <c r="K70" s="71">
        <v>0</v>
      </c>
      <c r="L70" s="71">
        <v>0</v>
      </c>
      <c r="M70" s="72">
        <f t="shared" si="19"/>
        <v>2.6649409432158961</v>
      </c>
      <c r="N70" s="72">
        <f t="shared" si="20"/>
        <v>1.2649589828661476</v>
      </c>
      <c r="O70" s="72">
        <f t="shared" si="21"/>
        <v>2.2598045193010989</v>
      </c>
      <c r="P70" s="72">
        <f t="shared" si="22"/>
        <v>3.1686861154967687</v>
      </c>
    </row>
    <row r="71" spans="2:16">
      <c r="B71" s="102" t="s">
        <v>226</v>
      </c>
      <c r="C71" s="103">
        <v>5185</v>
      </c>
      <c r="D71" s="103">
        <v>6059</v>
      </c>
      <c r="E71" s="103">
        <v>5800</v>
      </c>
      <c r="F71" s="103">
        <v>7623</v>
      </c>
      <c r="G71" s="103">
        <v>9163</v>
      </c>
      <c r="H71" s="103">
        <v>9048</v>
      </c>
      <c r="I71" s="103">
        <v>9991</v>
      </c>
      <c r="J71" s="103">
        <v>15469</v>
      </c>
      <c r="K71" s="103">
        <v>11886</v>
      </c>
      <c r="L71" s="103">
        <v>10999</v>
      </c>
      <c r="M71" s="104">
        <f>FORECAST(M$3,C71:L71,C$3:L$3)</f>
        <v>14070.055403027611</v>
      </c>
      <c r="N71" s="104">
        <f>FORECAST(N$3,D71:M71,D$3:M$3)</f>
        <v>14998.868896172455</v>
      </c>
      <c r="O71" s="104">
        <f>FORECAST(O$3,E71:N71,E$3:N$3)</f>
        <v>15940.273060255306</v>
      </c>
      <c r="P71" s="104">
        <f>FORECAST(P$3,F71:O71,F$3:O$3)</f>
        <v>16593.449968076908</v>
      </c>
    </row>
    <row r="72" spans="2:16"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2"/>
      <c r="N72" s="72"/>
      <c r="O72" s="72"/>
      <c r="P72" s="72"/>
    </row>
    <row r="73" spans="2:16">
      <c r="B73" s="10" t="s">
        <v>47</v>
      </c>
      <c r="M73" s="39"/>
      <c r="N73" s="39"/>
      <c r="O73" s="39"/>
      <c r="P73" s="39"/>
    </row>
    <row r="74" spans="2:16">
      <c r="B74" t="s">
        <v>101</v>
      </c>
      <c r="C74" s="71">
        <v>-1113</v>
      </c>
      <c r="D74" s="71">
        <v>-895</v>
      </c>
      <c r="E74" s="71">
        <v>-767</v>
      </c>
      <c r="F74" s="71">
        <v>-862</v>
      </c>
      <c r="G74" s="71">
        <v>-4613</v>
      </c>
      <c r="H74" s="71">
        <v>-1228</v>
      </c>
      <c r="I74" s="71">
        <v>-1192</v>
      </c>
      <c r="J74" s="71">
        <v>-1477</v>
      </c>
      <c r="K74" s="71">
        <v>-1275</v>
      </c>
      <c r="L74" s="71">
        <v>-1360</v>
      </c>
      <c r="M74" s="72">
        <f t="shared" si="19"/>
        <v>-1679.5303272637266</v>
      </c>
      <c r="N74" s="72">
        <f t="shared" si="20"/>
        <v>-1662.6868225664773</v>
      </c>
      <c r="O74" s="72">
        <f t="shared" si="21"/>
        <v>-1543.2189402098868</v>
      </c>
      <c r="P74" s="72">
        <f t="shared" si="22"/>
        <v>-1290.5551046277542</v>
      </c>
    </row>
    <row r="75" spans="2:16">
      <c r="B75" t="s">
        <v>102</v>
      </c>
      <c r="C75" s="71">
        <v>176</v>
      </c>
      <c r="D75" s="71">
        <v>32</v>
      </c>
      <c r="E75" s="71">
        <v>13</v>
      </c>
      <c r="F75" s="71">
        <v>52</v>
      </c>
      <c r="G75" s="71">
        <v>97</v>
      </c>
      <c r="H75" s="71">
        <v>175</v>
      </c>
      <c r="I75" s="71">
        <v>181</v>
      </c>
      <c r="J75" s="71">
        <v>20</v>
      </c>
      <c r="K75" s="71">
        <v>13</v>
      </c>
      <c r="L75" s="71">
        <v>29</v>
      </c>
      <c r="M75" s="72">
        <f t="shared" si="19"/>
        <v>46.93286866725748</v>
      </c>
      <c r="N75" s="72">
        <f t="shared" si="20"/>
        <v>60.099475588824276</v>
      </c>
      <c r="O75" s="72">
        <f t="shared" si="21"/>
        <v>48.745623616636124</v>
      </c>
      <c r="P75" s="72">
        <f t="shared" si="22"/>
        <v>25.901800784433362</v>
      </c>
    </row>
    <row r="76" spans="2:16">
      <c r="B76" t="s">
        <v>103</v>
      </c>
      <c r="C76" s="71">
        <v>-31214</v>
      </c>
      <c r="D76" s="71">
        <v>-51855</v>
      </c>
      <c r="E76" s="71">
        <v>-74365</v>
      </c>
      <c r="F76" s="71">
        <v>-36090</v>
      </c>
      <c r="G76" s="71">
        <v>-39920</v>
      </c>
      <c r="H76" s="71">
        <v>-48522</v>
      </c>
      <c r="I76" s="71">
        <v>-22649</v>
      </c>
      <c r="J76" s="71">
        <v>-21337</v>
      </c>
      <c r="K76" s="71">
        <v>-22957</v>
      </c>
      <c r="L76" s="71">
        <v>-25529</v>
      </c>
      <c r="M76" s="72">
        <f t="shared" si="19"/>
        <v>-19100.51375759294</v>
      </c>
      <c r="N76" s="72">
        <f t="shared" si="20"/>
        <v>-10105.721902026096</v>
      </c>
      <c r="O76" s="72">
        <f t="shared" si="21"/>
        <v>-3821.3237621292938</v>
      </c>
      <c r="P76" s="72">
        <f t="shared" si="22"/>
        <v>-3808.3633810192696</v>
      </c>
    </row>
    <row r="77" spans="2:16">
      <c r="B77" t="s">
        <v>104</v>
      </c>
      <c r="C77" s="71">
        <v>30083</v>
      </c>
      <c r="D77" s="71">
        <v>52897</v>
      </c>
      <c r="E77" s="71">
        <v>74691</v>
      </c>
      <c r="F77" s="71">
        <v>37690</v>
      </c>
      <c r="G77" s="71">
        <v>38486</v>
      </c>
      <c r="H77" s="71">
        <v>47786</v>
      </c>
      <c r="I77" s="71">
        <v>23462</v>
      </c>
      <c r="J77" s="71">
        <v>19846</v>
      </c>
      <c r="K77" s="71">
        <v>23987</v>
      </c>
      <c r="L77" s="71">
        <v>25415</v>
      </c>
      <c r="M77" s="72">
        <f t="shared" si="19"/>
        <v>19034.949055706093</v>
      </c>
      <c r="N77" s="72">
        <f t="shared" si="20"/>
        <v>9718.8104481394403</v>
      </c>
      <c r="O77" s="72">
        <f t="shared" si="21"/>
        <v>3492.7919654024299</v>
      </c>
      <c r="P77" s="72">
        <f t="shared" si="22"/>
        <v>3465.9087550691329</v>
      </c>
    </row>
    <row r="78" spans="2:16">
      <c r="B78" t="s">
        <v>105</v>
      </c>
      <c r="C78" s="71">
        <v>264</v>
      </c>
      <c r="D78" s="71">
        <v>297</v>
      </c>
      <c r="E78" s="71">
        <v>289</v>
      </c>
      <c r="F78" s="71">
        <v>351</v>
      </c>
      <c r="G78" s="71">
        <v>277</v>
      </c>
      <c r="H78" s="71">
        <v>161</v>
      </c>
      <c r="I78" s="71">
        <v>259</v>
      </c>
      <c r="J78" s="71">
        <v>425</v>
      </c>
      <c r="K78" s="71">
        <v>835</v>
      </c>
      <c r="L78" s="71">
        <v>428</v>
      </c>
      <c r="M78" s="72">
        <f t="shared" si="19"/>
        <v>542.9211051735042</v>
      </c>
      <c r="N78" s="72">
        <f t="shared" si="20"/>
        <v>591.40380175179143</v>
      </c>
      <c r="O78" s="72">
        <f t="shared" si="21"/>
        <v>649.5001045097415</v>
      </c>
      <c r="P78" s="72">
        <f t="shared" si="22"/>
        <v>709.09868489333894</v>
      </c>
    </row>
    <row r="79" spans="2:16">
      <c r="B79" t="s">
        <v>106</v>
      </c>
      <c r="C79" s="71">
        <v>14</v>
      </c>
      <c r="D79" s="71">
        <v>0</v>
      </c>
      <c r="E79" s="71">
        <v>1</v>
      </c>
      <c r="F79" s="71">
        <v>1</v>
      </c>
      <c r="G79" s="71">
        <v>1</v>
      </c>
      <c r="H79" s="71">
        <v>1</v>
      </c>
      <c r="I79" s="71">
        <v>2</v>
      </c>
      <c r="J79" s="71">
        <v>3</v>
      </c>
      <c r="K79" s="71">
        <v>0</v>
      </c>
      <c r="L79" s="71">
        <v>5</v>
      </c>
      <c r="M79" s="72">
        <f t="shared" si="19"/>
        <v>0.53408672237335253</v>
      </c>
      <c r="N79" s="72">
        <f t="shared" si="20"/>
        <v>2.6134010764106463</v>
      </c>
      <c r="O79" s="72">
        <f t="shared" si="21"/>
        <v>2.6898469482559229</v>
      </c>
      <c r="P79" s="72">
        <f t="shared" si="22"/>
        <v>2.8893573790962179</v>
      </c>
    </row>
    <row r="80" spans="2:16">
      <c r="B80" t="s">
        <v>107</v>
      </c>
      <c r="C80" s="71">
        <v>20</v>
      </c>
      <c r="D80" s="71">
        <v>73</v>
      </c>
      <c r="E80" s="71">
        <v>0</v>
      </c>
      <c r="F80" s="71">
        <v>0</v>
      </c>
      <c r="G80" s="71">
        <v>0</v>
      </c>
      <c r="H80" s="71">
        <v>0</v>
      </c>
      <c r="I80" s="71">
        <v>0</v>
      </c>
      <c r="J80" s="71">
        <v>0</v>
      </c>
      <c r="K80" s="71">
        <v>0</v>
      </c>
      <c r="L80" s="71">
        <v>0</v>
      </c>
      <c r="M80" s="72">
        <f t="shared" si="19"/>
        <v>-13.729668083524416</v>
      </c>
      <c r="N80" s="72">
        <f t="shared" si="20"/>
        <v>-20.085681952004165</v>
      </c>
      <c r="O80" s="72">
        <f t="shared" si="21"/>
        <v>-12.606874135714236</v>
      </c>
      <c r="P80" s="72">
        <f t="shared" si="22"/>
        <v>-15.396184033798136</v>
      </c>
    </row>
    <row r="81" spans="2:16">
      <c r="B81" t="s">
        <v>108</v>
      </c>
      <c r="C81" s="71">
        <v>0</v>
      </c>
      <c r="D81" s="71">
        <v>0</v>
      </c>
      <c r="E81" s="71">
        <v>0</v>
      </c>
      <c r="F81" s="71">
        <v>0</v>
      </c>
      <c r="G81" s="71">
        <v>0</v>
      </c>
      <c r="H81" s="71">
        <v>0</v>
      </c>
      <c r="I81" s="71">
        <v>-334</v>
      </c>
      <c r="J81" s="71">
        <v>0</v>
      </c>
      <c r="K81" s="71">
        <v>0</v>
      </c>
      <c r="L81" s="71">
        <v>0</v>
      </c>
      <c r="M81" s="72">
        <f t="shared" si="19"/>
        <v>-66.770075824530636</v>
      </c>
      <c r="N81" s="72">
        <f t="shared" si="20"/>
        <v>-71.209965914115173</v>
      </c>
      <c r="O81" s="72">
        <f t="shared" si="21"/>
        <v>-72.976658371226449</v>
      </c>
      <c r="P81" s="72">
        <f t="shared" si="22"/>
        <v>-70.70179287395473</v>
      </c>
    </row>
    <row r="82" spans="2:16">
      <c r="B82" t="s">
        <v>109</v>
      </c>
      <c r="C82" s="71">
        <v>597</v>
      </c>
      <c r="D82" s="71">
        <v>-1612</v>
      </c>
      <c r="E82" s="71">
        <v>-300</v>
      </c>
      <c r="F82" s="71">
        <v>649</v>
      </c>
      <c r="G82" s="71">
        <v>3994</v>
      </c>
      <c r="H82" s="71">
        <v>-101</v>
      </c>
      <c r="I82" s="71">
        <v>-1213</v>
      </c>
      <c r="J82" s="71">
        <v>-2804</v>
      </c>
      <c r="K82" s="71">
        <v>5870</v>
      </c>
      <c r="L82" s="71">
        <v>-2672</v>
      </c>
      <c r="M82" s="72">
        <f t="shared" si="19"/>
        <v>266.15607505943007</v>
      </c>
      <c r="N82" s="72">
        <f t="shared" si="20"/>
        <v>371.23761264336235</v>
      </c>
      <c r="O82" s="72">
        <f t="shared" si="21"/>
        <v>-48.528941894091986</v>
      </c>
      <c r="P82" s="72">
        <f t="shared" si="22"/>
        <v>-418.74229723177268</v>
      </c>
    </row>
    <row r="83" spans="2:16">
      <c r="B83" s="102" t="s">
        <v>227</v>
      </c>
      <c r="C83" s="103">
        <v>-1173</v>
      </c>
      <c r="D83" s="103">
        <v>-1063</v>
      </c>
      <c r="E83" s="103">
        <v>-438</v>
      </c>
      <c r="F83" s="103">
        <v>1791</v>
      </c>
      <c r="G83" s="103">
        <v>-1228</v>
      </c>
      <c r="H83" s="103">
        <v>-1728</v>
      </c>
      <c r="I83" s="103">
        <v>-1484</v>
      </c>
      <c r="J83" s="103">
        <v>-5324</v>
      </c>
      <c r="K83" s="103">
        <v>6473</v>
      </c>
      <c r="L83" s="103">
        <v>-3684</v>
      </c>
      <c r="M83" s="104">
        <f>FORECAST(M$3,C83:L83,C$3:L$3)</f>
        <v>-939.03719843507361</v>
      </c>
      <c r="N83" s="104">
        <f>FORECAST(N$3,D83:M83,D$3:M$3)</f>
        <v>-1103.5128546720125</v>
      </c>
      <c r="O83" s="104">
        <f>FORECAST(O$3,E83:N83,E$3:N$3)</f>
        <v>-1320.0872689403113</v>
      </c>
      <c r="P83" s="104">
        <f>FORECAST(P$3,F83:O83,F$3:O$3)</f>
        <v>-1453.9980383647617</v>
      </c>
    </row>
    <row r="84" spans="2:16"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2"/>
      <c r="N84" s="72"/>
      <c r="O84" s="72"/>
      <c r="P84" s="72"/>
    </row>
    <row r="85" spans="2:16">
      <c r="B85" s="10" t="s">
        <v>48</v>
      </c>
      <c r="M85" s="39"/>
      <c r="N85" s="39"/>
      <c r="O85" s="39"/>
      <c r="P85" s="39"/>
    </row>
    <row r="86" spans="2:16">
      <c r="B86" t="s">
        <v>110</v>
      </c>
      <c r="C86" s="71">
        <v>0</v>
      </c>
      <c r="D86" s="71">
        <v>0</v>
      </c>
      <c r="E86" s="71">
        <v>0</v>
      </c>
      <c r="F86" s="71">
        <v>0</v>
      </c>
      <c r="G86" s="71">
        <v>0</v>
      </c>
      <c r="H86" s="71">
        <v>0</v>
      </c>
      <c r="I86" s="71">
        <v>0</v>
      </c>
      <c r="J86" s="71">
        <v>0</v>
      </c>
      <c r="K86" s="71">
        <v>0</v>
      </c>
      <c r="L86" s="71">
        <v>0</v>
      </c>
      <c r="M86" s="72">
        <f t="shared" si="19"/>
        <v>0</v>
      </c>
      <c r="N86" s="72">
        <f t="shared" si="20"/>
        <v>0</v>
      </c>
      <c r="O86" s="72">
        <f t="shared" si="21"/>
        <v>0</v>
      </c>
      <c r="P86" s="72">
        <f t="shared" si="22"/>
        <v>0</v>
      </c>
    </row>
    <row r="87" spans="2:16">
      <c r="B87" t="s">
        <v>111</v>
      </c>
      <c r="C87" s="71">
        <v>460</v>
      </c>
      <c r="D87" s="71">
        <v>0</v>
      </c>
      <c r="E87" s="71">
        <v>99</v>
      </c>
      <c r="F87" s="71">
        <v>0</v>
      </c>
      <c r="G87" s="71">
        <v>188</v>
      </c>
      <c r="H87" s="71">
        <v>55</v>
      </c>
      <c r="I87" s="71">
        <v>286</v>
      </c>
      <c r="J87" s="71">
        <v>0</v>
      </c>
      <c r="K87" s="71">
        <v>0</v>
      </c>
      <c r="L87" s="71">
        <v>0</v>
      </c>
      <c r="M87" s="72">
        <f t="shared" si="19"/>
        <v>-21.518572328632217</v>
      </c>
      <c r="N87" s="72">
        <f t="shared" si="20"/>
        <v>19.986218963027454</v>
      </c>
      <c r="O87" s="72">
        <f t="shared" si="21"/>
        <v>-12.446812308631934</v>
      </c>
      <c r="P87" s="72">
        <f t="shared" si="22"/>
        <v>-32.796866363845993</v>
      </c>
    </row>
    <row r="88" spans="2:16">
      <c r="B88" t="s">
        <v>112</v>
      </c>
      <c r="C88" s="71">
        <v>-360</v>
      </c>
      <c r="D88" s="71">
        <v>-277</v>
      </c>
      <c r="E88" s="71">
        <v>0</v>
      </c>
      <c r="F88" s="71">
        <v>-99</v>
      </c>
      <c r="G88" s="71">
        <v>-188</v>
      </c>
      <c r="H88" s="71">
        <v>-55</v>
      </c>
      <c r="I88" s="71">
        <v>-208</v>
      </c>
      <c r="J88" s="71">
        <v>-85</v>
      </c>
      <c r="K88" s="71">
        <v>0</v>
      </c>
      <c r="L88" s="71">
        <v>-46</v>
      </c>
      <c r="M88" s="72">
        <f t="shared" si="19"/>
        <v>6.3685192935727173</v>
      </c>
      <c r="N88" s="72">
        <f t="shared" si="20"/>
        <v>0.78743441227106814</v>
      </c>
      <c r="O88" s="72">
        <f t="shared" si="21"/>
        <v>-9.3171265564669739</v>
      </c>
      <c r="P88" s="72">
        <f t="shared" si="22"/>
        <v>31.891201584352984</v>
      </c>
    </row>
    <row r="89" spans="2:16">
      <c r="B89" t="s">
        <v>113</v>
      </c>
      <c r="C89" s="71">
        <v>-14</v>
      </c>
      <c r="D89" s="71">
        <v>-6</v>
      </c>
      <c r="E89" s="71">
        <v>-7</v>
      </c>
      <c r="F89" s="71">
        <v>-90</v>
      </c>
      <c r="G89" s="71">
        <v>-92</v>
      </c>
      <c r="H89" s="71">
        <v>-82</v>
      </c>
      <c r="I89" s="71">
        <v>-88</v>
      </c>
      <c r="J89" s="71">
        <v>-110</v>
      </c>
      <c r="K89" s="71">
        <v>-130</v>
      </c>
      <c r="L89" s="71">
        <v>-133</v>
      </c>
      <c r="M89" s="72">
        <f t="shared" si="19"/>
        <v>-156.45699687322804</v>
      </c>
      <c r="N89" s="72">
        <f t="shared" si="20"/>
        <v>-172.63375756107735</v>
      </c>
      <c r="O89" s="72">
        <f t="shared" si="21"/>
        <v>-183.65754249788051</v>
      </c>
      <c r="P89" s="72">
        <f t="shared" si="22"/>
        <v>-188.25039167356613</v>
      </c>
    </row>
    <row r="90" spans="2:16">
      <c r="B90" t="s">
        <v>114</v>
      </c>
      <c r="C90" s="71">
        <v>-3572</v>
      </c>
      <c r="D90" s="71">
        <v>-3911</v>
      </c>
      <c r="E90" s="71">
        <v>-4554</v>
      </c>
      <c r="F90" s="71">
        <v>-5196</v>
      </c>
      <c r="G90" s="71">
        <v>-8811</v>
      </c>
      <c r="H90" s="71">
        <v>-7526</v>
      </c>
      <c r="I90" s="71">
        <v>-8474</v>
      </c>
      <c r="J90" s="71">
        <v>-9416</v>
      </c>
      <c r="K90" s="71">
        <v>-12473</v>
      </c>
      <c r="L90" s="71">
        <v>-10124</v>
      </c>
      <c r="M90" s="72">
        <f t="shared" si="19"/>
        <v>-12463.513057309348</v>
      </c>
      <c r="N90" s="72">
        <f t="shared" si="20"/>
        <v>-13463.945403985796</v>
      </c>
      <c r="O90" s="72">
        <f t="shared" si="21"/>
        <v>-14362.563492013796</v>
      </c>
      <c r="P90" s="72">
        <f t="shared" si="22"/>
        <v>-15155.527156083452</v>
      </c>
    </row>
    <row r="91" spans="2:16">
      <c r="B91" t="s">
        <v>115</v>
      </c>
      <c r="C91" s="71">
        <v>0</v>
      </c>
      <c r="D91" s="71">
        <v>0</v>
      </c>
      <c r="E91" s="71">
        <v>0</v>
      </c>
      <c r="F91" s="71">
        <v>-373</v>
      </c>
      <c r="G91" s="71">
        <v>-406</v>
      </c>
      <c r="H91" s="71">
        <v>-407</v>
      </c>
      <c r="I91" s="71">
        <v>-467</v>
      </c>
      <c r="J91" s="71">
        <v>-423</v>
      </c>
      <c r="K91" s="71">
        <v>-498</v>
      </c>
      <c r="L91" s="71">
        <v>-507</v>
      </c>
      <c r="M91" s="72">
        <f t="shared" si="19"/>
        <v>-656.28192769869293</v>
      </c>
      <c r="N91" s="72">
        <f t="shared" si="20"/>
        <v>-713.37440747139863</v>
      </c>
      <c r="O91" s="72">
        <f t="shared" si="21"/>
        <v>-749.57670672457243</v>
      </c>
      <c r="P91" s="72">
        <f t="shared" si="22"/>
        <v>-752.70289785391378</v>
      </c>
    </row>
    <row r="92" spans="2:16">
      <c r="B92" t="s">
        <v>116</v>
      </c>
      <c r="C92" s="71">
        <v>-728</v>
      </c>
      <c r="D92" s="71">
        <v>-781</v>
      </c>
      <c r="E92" s="71">
        <v>-928</v>
      </c>
      <c r="F92" s="71">
        <v>-1061</v>
      </c>
      <c r="G92" s="71">
        <v>0</v>
      </c>
      <c r="H92" s="71">
        <v>0</v>
      </c>
      <c r="I92" s="71">
        <v>-2</v>
      </c>
      <c r="J92" s="71">
        <v>0</v>
      </c>
      <c r="K92" s="71">
        <v>0</v>
      </c>
      <c r="L92" s="71">
        <v>0</v>
      </c>
      <c r="M92" s="72">
        <f t="shared" si="19"/>
        <v>311.05232420032735</v>
      </c>
      <c r="N92" s="72">
        <f t="shared" si="20"/>
        <v>474.60954221990687</v>
      </c>
      <c r="O92" s="72">
        <f t="shared" si="21"/>
        <v>620.24719320372606</v>
      </c>
      <c r="P92" s="72">
        <f t="shared" si="22"/>
        <v>701.2697940184953</v>
      </c>
    </row>
    <row r="93" spans="2:16">
      <c r="B93" s="102" t="s">
        <v>228</v>
      </c>
      <c r="C93" s="103">
        <v>-4214</v>
      </c>
      <c r="D93" s="103">
        <v>-4975</v>
      </c>
      <c r="E93" s="103">
        <v>-5390</v>
      </c>
      <c r="F93" s="103">
        <v>-6819</v>
      </c>
      <c r="G93" s="103">
        <v>-9309</v>
      </c>
      <c r="H93" s="103">
        <v>-8015</v>
      </c>
      <c r="I93" s="103">
        <v>-8953</v>
      </c>
      <c r="J93" s="103">
        <v>-10034</v>
      </c>
      <c r="K93" s="103">
        <v>-13101</v>
      </c>
      <c r="L93" s="103">
        <v>-10810</v>
      </c>
      <c r="M93" s="104">
        <f>FORECAST(M$3,C93:L93,C$3:L$3)</f>
        <v>-12980.349710715993</v>
      </c>
      <c r="N93" s="104">
        <f>FORECAST(N$3,D93:M93,D$3:M$3)</f>
        <v>-13854.570373423063</v>
      </c>
      <c r="O93" s="104">
        <f>FORECAST(O$3,E93:N93,E$3:N$3)</f>
        <v>-14697.314486897623</v>
      </c>
      <c r="P93" s="104">
        <f>FORECAST(P$3,F93:O93,F$3:O$3)</f>
        <v>-15396.116316371932</v>
      </c>
    </row>
    <row r="94" spans="2:16">
      <c r="M94" s="39"/>
      <c r="N94" s="39"/>
      <c r="O94" s="39"/>
      <c r="P94" s="39"/>
    </row>
    <row r="95" spans="2:16">
      <c r="B95" s="105" t="s">
        <v>49</v>
      </c>
      <c r="C95" s="106">
        <f>C71+C83+C93</f>
        <v>-202</v>
      </c>
      <c r="D95" s="106">
        <f t="shared" ref="D95:P95" si="23">D71+D83+D93</f>
        <v>21</v>
      </c>
      <c r="E95" s="106">
        <f t="shared" si="23"/>
        <v>-28</v>
      </c>
      <c r="F95" s="106">
        <f t="shared" si="23"/>
        <v>2595</v>
      </c>
      <c r="G95" s="106">
        <f t="shared" si="23"/>
        <v>-1374</v>
      </c>
      <c r="H95" s="106">
        <f t="shared" si="23"/>
        <v>-695</v>
      </c>
      <c r="I95" s="106">
        <f t="shared" si="23"/>
        <v>-446</v>
      </c>
      <c r="J95" s="106">
        <f t="shared" si="23"/>
        <v>111</v>
      </c>
      <c r="K95" s="106">
        <f t="shared" si="23"/>
        <v>5258</v>
      </c>
      <c r="L95" s="106">
        <f t="shared" si="23"/>
        <v>-3495</v>
      </c>
      <c r="M95" s="107">
        <f t="shared" si="23"/>
        <v>150.66849387654474</v>
      </c>
      <c r="N95" s="107">
        <f t="shared" si="23"/>
        <v>40.785668077380251</v>
      </c>
      <c r="O95" s="107">
        <f t="shared" si="23"/>
        <v>-77.128695582629007</v>
      </c>
      <c r="P95" s="107">
        <f t="shared" si="23"/>
        <v>-256.66438665978603</v>
      </c>
    </row>
  </sheetData>
  <mergeCells count="1">
    <mergeCell ref="B2:P2"/>
  </mergeCells>
  <pageMargins left="0.7" right="0.7" top="0.75" bottom="0.75" header="0.3" footer="0.3"/>
  <ignoredErrors>
    <ignoredError sqref="M47:P47" formula="1"/>
    <ignoredError sqref="C14:L1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P40"/>
  <sheetViews>
    <sheetView showGridLines="0" tabSelected="1" zoomScaleNormal="100" workbookViewId="0">
      <pane ySplit="3" topLeftCell="A4" activePane="bottomLeft" state="frozen"/>
      <selection pane="bottomLeft" activeCell="U39" sqref="U39"/>
    </sheetView>
  </sheetViews>
  <sheetFormatPr defaultColWidth="9" defaultRowHeight="14.4"/>
  <cols>
    <col min="1" max="1" width="1.88671875" customWidth="1"/>
    <col min="2" max="2" width="19.5546875" customWidth="1"/>
    <col min="3" max="16" width="9.5546875" customWidth="1"/>
  </cols>
  <sheetData>
    <row r="2" spans="2:16">
      <c r="B2" s="96" t="str">
        <f>"Ratio Analysis for "&amp;'Data Sheet'!B1</f>
        <v>Ratio Analysis for HINDUSTAN UNILEVER LTD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2:16">
      <c r="B3" s="7" t="s">
        <v>120</v>
      </c>
      <c r="C3" s="8">
        <f>'Data Sheet'!B16</f>
        <v>42825</v>
      </c>
      <c r="D3" s="8">
        <f>'Data Sheet'!C16</f>
        <v>43190</v>
      </c>
      <c r="E3" s="8">
        <f>'Data Sheet'!D16</f>
        <v>43555</v>
      </c>
      <c r="F3" s="8">
        <f>'Data Sheet'!E16</f>
        <v>43921</v>
      </c>
      <c r="G3" s="8">
        <f>'Data Sheet'!F16</f>
        <v>44286</v>
      </c>
      <c r="H3" s="8">
        <f>'Data Sheet'!G16</f>
        <v>44651</v>
      </c>
      <c r="I3" s="8">
        <f>'Data Sheet'!H16</f>
        <v>45016</v>
      </c>
      <c r="J3" s="8">
        <f>'Data Sheet'!I16</f>
        <v>45382</v>
      </c>
      <c r="K3" s="8">
        <f>'Data Sheet'!J16</f>
        <v>45747</v>
      </c>
      <c r="L3" s="8">
        <f>'Data Sheet'!K16</f>
        <v>46112</v>
      </c>
      <c r="M3" s="38">
        <f>'Data Sheet'!K56+365</f>
        <v>46477</v>
      </c>
      <c r="N3" s="38">
        <f>M3+365</f>
        <v>46842</v>
      </c>
      <c r="O3" s="38">
        <f>N3+365</f>
        <v>47207</v>
      </c>
      <c r="P3" s="38">
        <f>O3+365</f>
        <v>47572</v>
      </c>
    </row>
    <row r="4" spans="2:16">
      <c r="B4" s="10" t="s">
        <v>143</v>
      </c>
      <c r="M4" s="39"/>
      <c r="N4" s="39"/>
      <c r="O4" s="39"/>
      <c r="P4" s="39"/>
    </row>
    <row r="5" spans="2:16">
      <c r="B5" t="s">
        <v>144</v>
      </c>
      <c r="C5" s="29">
        <f>'Historical FS'!C12</f>
        <v>0.43685543694590195</v>
      </c>
      <c r="D5" s="29">
        <f>'Historical FS'!D12</f>
        <v>0.45663243775495849</v>
      </c>
      <c r="E5" s="29">
        <f>'Historical FS'!E12</f>
        <v>0.46372424319511574</v>
      </c>
      <c r="F5" s="29">
        <f>'Historical FS'!F12</f>
        <v>0.48183897644722617</v>
      </c>
      <c r="G5" s="29">
        <f>'Historical FS'!G12</f>
        <v>0.46200136089138388</v>
      </c>
      <c r="H5" s="29">
        <f>'Historical FS'!H12</f>
        <v>0.44579186210578498</v>
      </c>
      <c r="I5" s="29">
        <f>'Historical FS'!I12</f>
        <v>0.41596236381644108</v>
      </c>
      <c r="J5" s="29">
        <f>'Historical FS'!J12</f>
        <v>0.45632997285769678</v>
      </c>
      <c r="K5" s="29">
        <f>'Historical FS'!K12</f>
        <v>0.45297127738787407</v>
      </c>
      <c r="L5" s="29">
        <f>'Historical FS'!L12</f>
        <v>0.4595768443258671</v>
      </c>
      <c r="M5" s="40">
        <f>'Historical FS'!M12</f>
        <v>0.45041581190419555</v>
      </c>
      <c r="N5" s="40">
        <f>'Historical FS'!N12</f>
        <v>0.44806597535232179</v>
      </c>
      <c r="O5" s="40">
        <f>'Historical FS'!O12</f>
        <v>0.44692608564544717</v>
      </c>
      <c r="P5" s="40">
        <f>'Historical FS'!P12</f>
        <v>0.4466904204741452</v>
      </c>
    </row>
    <row r="6" spans="2:16">
      <c r="B6" t="s">
        <v>128</v>
      </c>
      <c r="C6" s="29">
        <f>'Historical FS'!C17</f>
        <v>0.1908208190097099</v>
      </c>
      <c r="D6" s="29">
        <f>'Historical FS'!D17</f>
        <v>0.21097200731467156</v>
      </c>
      <c r="E6" s="29">
        <f>'Historical FS'!E17</f>
        <v>0.2258967183922666</v>
      </c>
      <c r="F6" s="29">
        <f>'Historical FS'!F17</f>
        <v>0.24786969308498605</v>
      </c>
      <c r="G6" s="29">
        <f>'Historical FS'!G17</f>
        <v>0.24721442544866887</v>
      </c>
      <c r="H6" s="29">
        <f>'Historical FS'!H17</f>
        <v>0.24514738969606834</v>
      </c>
      <c r="I6" s="29">
        <f>'Historical FS'!I17</f>
        <v>0.23352591614394189</v>
      </c>
      <c r="J6" s="29">
        <f>'Historical FS'!J17</f>
        <v>0.23683275171255008</v>
      </c>
      <c r="K6" s="29">
        <f>'Historical FS'!K17</f>
        <v>0.23515153435465216</v>
      </c>
      <c r="L6" s="29">
        <f>'Historical FS'!L17</f>
        <v>0.23327852578023206</v>
      </c>
      <c r="M6" s="40">
        <f>'Historical FS'!M17</f>
        <v>0.24214052065793143</v>
      </c>
      <c r="N6" s="40">
        <f>'Historical FS'!N17</f>
        <v>0.24027885046909619</v>
      </c>
      <c r="O6" s="40">
        <f>'Historical FS'!O17</f>
        <v>0.23846368851950783</v>
      </c>
      <c r="P6" s="40">
        <f>'Historical FS'!P17</f>
        <v>0.23681776919952413</v>
      </c>
    </row>
    <row r="7" spans="2:16">
      <c r="B7" t="s">
        <v>130</v>
      </c>
      <c r="C7" s="29">
        <f>'Historical FS'!C22</f>
        <v>0.17779386044267534</v>
      </c>
      <c r="D7" s="29">
        <f>'Historical FS'!D22</f>
        <v>0.19634266422844282</v>
      </c>
      <c r="E7" s="29">
        <f>'Historical FS'!E22</f>
        <v>0.21152378529636226</v>
      </c>
      <c r="F7" s="29">
        <f>'Historical FS'!F22</f>
        <v>0.22268305557650253</v>
      </c>
      <c r="G7" s="29">
        <f>'Historical FS'!G22</f>
        <v>0.22437696691332823</v>
      </c>
      <c r="H7" s="29">
        <f>'Historical FS'!H22</f>
        <v>0.22434504061320215</v>
      </c>
      <c r="I7" s="29">
        <f>'Historical FS'!I22</f>
        <v>0.21475734565863322</v>
      </c>
      <c r="J7" s="29">
        <f>'Historical FS'!J22</f>
        <v>0.21718689414501746</v>
      </c>
      <c r="K7" s="29">
        <f>'Historical FS'!K22</f>
        <v>0.21368482755342913</v>
      </c>
      <c r="L7" s="29">
        <f>'Historical FS'!L22</f>
        <v>0.21260160079419246</v>
      </c>
      <c r="M7" s="40">
        <f>'Historical FS'!M22</f>
        <v>0.22034520705963123</v>
      </c>
      <c r="N7" s="40">
        <f>'Historical FS'!N22</f>
        <v>0.21852604624570221</v>
      </c>
      <c r="O7" s="40">
        <f>'Historical FS'!O22</f>
        <v>0.21688719944295362</v>
      </c>
      <c r="P7" s="40">
        <f>'Historical FS'!P22</f>
        <v>0.21578548589207772</v>
      </c>
    </row>
    <row r="8" spans="2:16">
      <c r="B8" t="s">
        <v>134</v>
      </c>
      <c r="C8" s="29">
        <f>'Historical FS'!C32</f>
        <v>0.11712200711657922</v>
      </c>
      <c r="D8" s="29">
        <f>'Historical FS'!D32</f>
        <v>0.1371219580813054</v>
      </c>
      <c r="E8" s="29">
        <f>'Historical FS'!E32</f>
        <v>0.14596794708725516</v>
      </c>
      <c r="F8" s="29">
        <f>'Historical FS'!F32</f>
        <v>0.15916346178015736</v>
      </c>
      <c r="G8" s="29">
        <f>'Historical FS'!G32</f>
        <v>0.16647529131581185</v>
      </c>
      <c r="H8" s="29">
        <f>'Historical FS'!H32</f>
        <v>0.16537009495481067</v>
      </c>
      <c r="I8" s="29">
        <f>'Historical FS'!I32</f>
        <v>0.16003631561571477</v>
      </c>
      <c r="J8" s="29">
        <f>'Historical FS'!J32</f>
        <v>0.15291779759596744</v>
      </c>
      <c r="K8" s="29">
        <f>'Historical FS'!K32</f>
        <v>0.14811235563441644</v>
      </c>
      <c r="L8" s="29">
        <f>'Historical FS'!L32</f>
        <v>0.15722529006638952</v>
      </c>
      <c r="M8" s="40">
        <f>'Historical FS'!M32</f>
        <v>0.16068736573639877</v>
      </c>
      <c r="N8" s="40">
        <f>'Historical FS'!N32</f>
        <v>0.15907394190259022</v>
      </c>
      <c r="O8" s="40">
        <f>'Historical FS'!O32</f>
        <v>0.15783355586108364</v>
      </c>
      <c r="P8" s="40">
        <f>'Historical FS'!P32</f>
        <v>0.15646290724674311</v>
      </c>
    </row>
    <row r="9" spans="2:16">
      <c r="B9" t="s">
        <v>145</v>
      </c>
      <c r="C9" s="29">
        <f>'Historical FS'!C31/'Historical FS'!C53</f>
        <v>0.24729402776009168</v>
      </c>
      <c r="D9" s="29">
        <f>'Historical FS'!D31/'Historical FS'!D53</f>
        <v>0.27286977941999774</v>
      </c>
      <c r="E9" s="29">
        <f>'Historical FS'!E31/'Historical FS'!E53</f>
        <v>0.30801438617209725</v>
      </c>
      <c r="F9" s="29">
        <f>'Historical FS'!F31/'Historical FS'!F53</f>
        <v>0.31419639755867612</v>
      </c>
      <c r="G9" s="29">
        <f>'Historical FS'!G31/'Historical FS'!G53</f>
        <v>0.11389292988070993</v>
      </c>
      <c r="H9" s="29">
        <f>'Historical FS'!H31/'Historical FS'!H53</f>
        <v>0.12301080759084333</v>
      </c>
      <c r="I9" s="29">
        <f>'Historical FS'!I31/'Historical FS'!I53</f>
        <v>0.13266828140180906</v>
      </c>
      <c r="J9" s="29">
        <f>'Historical FS'!J31/'Historical FS'!J53</f>
        <v>0.12059014638993999</v>
      </c>
      <c r="K9" s="29">
        <f>'Historical FS'!K31/'Historical FS'!K53</f>
        <v>0.1170629703367016</v>
      </c>
      <c r="L9" s="29">
        <f>'Historical FS'!L31/'Historical FS'!L53</f>
        <v>0.12709399137325711</v>
      </c>
      <c r="M9" s="40">
        <f>'Historical FS'!M31/'Historical FS'!M53</f>
        <v>0.1135704964344294</v>
      </c>
      <c r="N9" s="40">
        <f>'Historical FS'!N31/'Historical FS'!N53</f>
        <v>0.10865172802964107</v>
      </c>
      <c r="O9" s="40">
        <f>'Historical FS'!O31/'Historical FS'!O53</f>
        <v>0.10544470741187849</v>
      </c>
      <c r="P9" s="40">
        <f>'Historical FS'!P31/'Historical FS'!P53</f>
        <v>0.10453483935372508</v>
      </c>
    </row>
    <row r="10" spans="2:16">
      <c r="B10" t="s">
        <v>44</v>
      </c>
      <c r="C10" s="29">
        <f>'Historical FS'!C31/SUM('Historical FS'!C35:C36)</f>
        <v>0.57591933570581255</v>
      </c>
      <c r="D10" s="29">
        <f>'Historical FS'!D31/SUM('Historical FS'!D35:D36)</f>
        <v>0.6694135420958659</v>
      </c>
      <c r="E10" s="29">
        <f>'Historical FS'!E31/SUM('Historical FS'!E35:E36)</f>
        <v>0.72937587390364811</v>
      </c>
      <c r="F10" s="29">
        <f>'Historical FS'!F31/SUM('Historical FS'!F35:F36)</f>
        <v>0.76947381212784061</v>
      </c>
      <c r="G10" s="29">
        <f>'Historical FS'!G31/SUM('Historical FS'!G35:G36)</f>
        <v>0.16421949070772329</v>
      </c>
      <c r="H10" s="29">
        <f>'Historical FS'!H31/SUM('Historical FS'!H35:H36)</f>
        <v>0.1767799270296162</v>
      </c>
      <c r="I10" s="29">
        <f>'Historical FS'!I31/SUM('Historical FS'!I35:I36)</f>
        <v>0.19272821246819338</v>
      </c>
      <c r="J10" s="29">
        <f>'Historical FS'!J31/SUM('Historical FS'!J35:J36)</f>
        <v>0.18479831309305322</v>
      </c>
      <c r="K10" s="29">
        <f>'Historical FS'!K31/SUM('Historical FS'!K35:K36)</f>
        <v>0.18924335047164081</v>
      </c>
      <c r="L10" s="29">
        <f>'Historical FS'!L31/SUM('Historical FS'!L35:L36)</f>
        <v>0.20796487412544368</v>
      </c>
      <c r="M10" s="40">
        <f>'Historical FS'!M31/SUM('Historical FS'!M35:M36)</f>
        <v>0.17283145446300813</v>
      </c>
      <c r="N10" s="40">
        <f>'Historical FS'!N31/SUM('Historical FS'!N35:N36)</f>
        <v>0.16493960931676757</v>
      </c>
      <c r="O10" s="40">
        <f>'Historical FS'!O31/SUM('Historical FS'!O35:O36)</f>
        <v>0.16054934310993688</v>
      </c>
      <c r="P10" s="40">
        <f>'Historical FS'!P31/SUM('Historical FS'!P35:P36)</f>
        <v>0.16031726672430091</v>
      </c>
    </row>
    <row r="11" spans="2:16">
      <c r="M11" s="39"/>
      <c r="N11" s="39"/>
      <c r="O11" s="39"/>
      <c r="P11" s="39"/>
    </row>
    <row r="12" spans="2:16">
      <c r="B12" s="10" t="s">
        <v>146</v>
      </c>
      <c r="M12" s="39"/>
      <c r="N12" s="39"/>
      <c r="O12" s="39"/>
      <c r="P12" s="39"/>
    </row>
    <row r="13" spans="2:16">
      <c r="B13" t="s">
        <v>147</v>
      </c>
      <c r="C13" s="27">
        <f>'Historical FS'!C37/SUM('Historical FS'!C35:C36)</f>
        <v>4.1073546856465006E-2</v>
      </c>
      <c r="D13" s="27">
        <f>'Historical FS'!D37/SUM('Historical FS'!D35:D36)</f>
        <v>0</v>
      </c>
      <c r="E13" s="27">
        <f>'Historical FS'!E37/SUM('Historical FS'!E35:E36)</f>
        <v>1.258421253336723E-2</v>
      </c>
      <c r="F13" s="27">
        <f>'Historical FS'!F37/SUM('Historical FS'!F35:F36)</f>
        <v>0</v>
      </c>
      <c r="G13" s="27">
        <f>'Historical FS'!G37/SUM('Historical FS'!G35:G36)</f>
        <v>0</v>
      </c>
      <c r="H13" s="27">
        <f>'Historical FS'!H37/SUM('Historical FS'!H35:H36)</f>
        <v>2.1259248690405821E-2</v>
      </c>
      <c r="I13" s="27">
        <f>'Historical FS'!I37/SUM('Historical FS'!I35:I36)</f>
        <v>2.4232665394402036E-2</v>
      </c>
      <c r="J13" s="27">
        <f>'Historical FS'!J37/SUM('Historical FS'!J35:J36)</f>
        <v>2.8974188761763442E-2</v>
      </c>
      <c r="K13" s="27">
        <f>'Historical FS'!K37/SUM('Historical FS'!K35:K36)</f>
        <v>3.3358973320918181E-2</v>
      </c>
      <c r="L13" s="27">
        <f>'Historical FS'!L37/SUM('Historical FS'!L35:L36)</f>
        <v>3.032479123494532E-2</v>
      </c>
      <c r="M13" s="41">
        <f>'Historical FS'!M37/SUM('Historical FS'!M35:M36)</f>
        <v>2.7902026226813301E-2</v>
      </c>
      <c r="N13" s="41">
        <f>'Historical FS'!N37/SUM('Historical FS'!N35:N36)</f>
        <v>2.9921091674108526E-2</v>
      </c>
      <c r="O13" s="41">
        <f>'Historical FS'!O37/SUM('Historical FS'!O35:O36)</f>
        <v>3.1497199201228468E-2</v>
      </c>
      <c r="P13" s="41">
        <f>'Historical FS'!P37/SUM('Historical FS'!P35:P36)</f>
        <v>3.3634908282561916E-2</v>
      </c>
    </row>
    <row r="14" spans="2:16">
      <c r="B14" t="s">
        <v>148</v>
      </c>
      <c r="C14" s="27">
        <f>'Historical FS'!C37/'Historical FS'!C53</f>
        <v>1.7636572010696547E-2</v>
      </c>
      <c r="D14" s="27">
        <f>'Historical FS'!D37/'Historical FS'!D53</f>
        <v>0</v>
      </c>
      <c r="E14" s="27">
        <f>'Historical FS'!E37/'Historical FS'!E53</f>
        <v>5.3142949165279939E-3</v>
      </c>
      <c r="F14" s="27">
        <f>'Historical FS'!F37/'Historical FS'!F53</f>
        <v>0</v>
      </c>
      <c r="G14" s="27">
        <f>'Historical FS'!G37/'Historical FS'!G53</f>
        <v>0</v>
      </c>
      <c r="H14" s="27">
        <f>'Historical FS'!H37/'Historical FS'!H53</f>
        <v>1.4793067256687375E-2</v>
      </c>
      <c r="I14" s="27">
        <f>'Historical FS'!I37/'Historical FS'!I53</f>
        <v>1.668103507259466E-2</v>
      </c>
      <c r="J14" s="27">
        <f>'Historical FS'!J37/'Historical FS'!J53</f>
        <v>1.8907108002395239E-2</v>
      </c>
      <c r="K14" s="27">
        <f>'Historical FS'!K37/'Historical FS'!K53</f>
        <v>2.0635338016353005E-2</v>
      </c>
      <c r="L14" s="27">
        <f>'Historical FS'!L37/'Historical FS'!L53</f>
        <v>1.8532450596850235E-2</v>
      </c>
      <c r="M14" s="41">
        <f>'Historical FS'!M37/'Historical FS'!M53</f>
        <v>1.8334897313404822E-2</v>
      </c>
      <c r="N14" s="41">
        <f>'Historical FS'!N37/'Historical FS'!N53</f>
        <v>1.9710112861257435E-2</v>
      </c>
      <c r="O14" s="41">
        <f>'Historical FS'!O37/'Historical FS'!O53</f>
        <v>2.068655585711723E-2</v>
      </c>
      <c r="P14" s="41">
        <f>'Historical FS'!P37/'Historical FS'!P53</f>
        <v>2.1931634725543433E-2</v>
      </c>
    </row>
    <row r="15" spans="2:16">
      <c r="B15" t="s">
        <v>149</v>
      </c>
      <c r="C15" s="27">
        <f>'Historical FS'!C21/'Historical FS'!C24</f>
        <v>168.45714285714286</v>
      </c>
      <c r="D15" s="27">
        <f>'Historical FS'!D21/'Historical FS'!D24</f>
        <v>268.42307692307691</v>
      </c>
      <c r="E15" s="27">
        <f>'Historical FS'!E21/'Historical FS'!E24</f>
        <v>251.96969696969697</v>
      </c>
      <c r="F15" s="27">
        <f>'Historical FS'!F21/'Historical FS'!F24</f>
        <v>75.076271186440678</v>
      </c>
      <c r="G15" s="27">
        <f>'Historical FS'!G21/'Historical FS'!G24</f>
        <v>90.188034188034194</v>
      </c>
      <c r="H15" s="27">
        <f>'Historical FS'!H21/'Historical FS'!H24</f>
        <v>111</v>
      </c>
      <c r="I15" s="27">
        <f>'Historical FS'!I21/'Historical FS'!I24</f>
        <v>114.12280701754386</v>
      </c>
      <c r="J15" s="27">
        <f>'Historical FS'!J21/'Historical FS'!J24</f>
        <v>40.248502994011979</v>
      </c>
      <c r="K15" s="27">
        <f>'Historical FS'!K21/'Historical FS'!K24</f>
        <v>34.146835443037972</v>
      </c>
      <c r="L15" s="27">
        <f>'Historical FS'!L21/'Historical FS'!L24</f>
        <v>33.429268292682927</v>
      </c>
      <c r="M15" s="41">
        <f>'Historical FS'!M21/'Historical FS'!M24</f>
        <v>37.844306421635928</v>
      </c>
      <c r="N15" s="41">
        <f>'Historical FS'!N21/'Historical FS'!N24</f>
        <v>34.535317786460695</v>
      </c>
      <c r="O15" s="41">
        <f>'Historical FS'!O21/'Historical FS'!O24</f>
        <v>32.061706558008652</v>
      </c>
      <c r="P15" s="41">
        <f>'Historical FS'!P21/'Historical FS'!P24</f>
        <v>30.329213144745069</v>
      </c>
    </row>
    <row r="16" spans="2:16">
      <c r="M16" s="39"/>
      <c r="N16" s="39"/>
      <c r="O16" s="39"/>
      <c r="P16" s="39"/>
    </row>
    <row r="17" spans="2:16">
      <c r="B17" s="10" t="s">
        <v>150</v>
      </c>
      <c r="M17" s="39"/>
      <c r="N17" s="39"/>
      <c r="O17" s="39"/>
      <c r="P17" s="39"/>
    </row>
    <row r="18" spans="2:16">
      <c r="B18" t="s">
        <v>151</v>
      </c>
      <c r="C18" s="30">
        <f>'Historical FS'!C6/'Historical FS'!C53</f>
        <v>2.1114223863491661</v>
      </c>
      <c r="D18" s="30">
        <f>'Historical FS'!D6/'Historical FS'!D53</f>
        <v>1.989978725786586</v>
      </c>
      <c r="E18" s="30">
        <f>'Historical FS'!E6/'Historical FS'!E53</f>
        <v>2.1101508400880347</v>
      </c>
      <c r="F18" s="30">
        <f>'Historical FS'!F6/'Historical FS'!F53</f>
        <v>1.974048528755024</v>
      </c>
      <c r="G18" s="30">
        <f>'Historical FS'!G6/'Historical FS'!G53</f>
        <v>0.68414314809426824</v>
      </c>
      <c r="H18" s="30">
        <f>'Historical FS'!H6/'Historical FS'!H53</f>
        <v>0.74385158709897026</v>
      </c>
      <c r="I18" s="30">
        <f>'Historical FS'!I6/'Historical FS'!I53</f>
        <v>0.82898860106463046</v>
      </c>
      <c r="J18" s="30">
        <f>'Historical FS'!J6/'Historical FS'!J53</f>
        <v>0.78859458013224781</v>
      </c>
      <c r="K18" s="30">
        <f>'Historical FS'!K6/'Historical FS'!K53</f>
        <v>0.79036600177804495</v>
      </c>
      <c r="L18" s="30">
        <f>'Historical FS'!L6/'Historical FS'!L53</f>
        <v>0.80835590330023066</v>
      </c>
      <c r="M18" s="42">
        <f>'Historical FS'!M6/'Historical FS'!M53</f>
        <v>0.70677925370148442</v>
      </c>
      <c r="N18" s="42">
        <f>'Historical FS'!N6/'Historical FS'!N53</f>
        <v>0.68302656443991638</v>
      </c>
      <c r="O18" s="42">
        <f>'Historical FS'!O6/'Historical FS'!O53</f>
        <v>0.66807534580723182</v>
      </c>
      <c r="P18" s="42">
        <f>'Historical FS'!P6/'Historical FS'!P53</f>
        <v>0.66811259737666062</v>
      </c>
    </row>
    <row r="19" spans="2:16">
      <c r="B19" t="s">
        <v>43</v>
      </c>
      <c r="C19" s="30">
        <f>'Historical FS'!C9/'Historical FS'!C49</f>
        <v>7.3494687131050771</v>
      </c>
      <c r="D19" s="30">
        <f>'Historical FS'!D9/'Historical FS'!D49</f>
        <v>7.685634699562276</v>
      </c>
      <c r="E19" s="30">
        <f>'Historical FS'!E9/'Historical FS'!E49</f>
        <v>8.1899766899766906</v>
      </c>
      <c r="F19" s="30">
        <f>'Historical FS'!F9/'Historical FS'!F49</f>
        <v>7.4499457896638956</v>
      </c>
      <c r="G19" s="30">
        <f>'Historical FS'!G9/'Historical FS'!G49</f>
        <v>7.0692930986309026</v>
      </c>
      <c r="H19" s="30">
        <f>'Historical FS'!H9/'Historical FS'!H49</f>
        <v>7.09619140625</v>
      </c>
      <c r="I19" s="30">
        <f>'Historical FS'!I9/'Historical FS'!I49</f>
        <v>8.3229828275699838</v>
      </c>
      <c r="J19" s="30">
        <f>'Historical FS'!J9/'Historical FS'!J49</f>
        <v>8.3667329686723022</v>
      </c>
      <c r="K19" s="30">
        <f>'Historical FS'!K9/'Historical FS'!K49</f>
        <v>7.8208380520951302</v>
      </c>
      <c r="L19" s="30">
        <f>'Historical FS'!L9/'Historical FS'!L49</f>
        <v>7.2750052202965128</v>
      </c>
      <c r="M19" s="42">
        <f>'Historical FS'!M9/'Historical FS'!M49</f>
        <v>7.744675714986097</v>
      </c>
      <c r="N19" s="42">
        <f>'Historical FS'!N9/'Historical FS'!N49</f>
        <v>7.7303029297971859</v>
      </c>
      <c r="O19" s="42">
        <f>'Historical FS'!O9/'Historical FS'!O49</f>
        <v>7.7401819201289683</v>
      </c>
      <c r="P19" s="42">
        <f>'Historical FS'!P9/'Historical FS'!P49</f>
        <v>7.8097956534052857</v>
      </c>
    </row>
    <row r="20" spans="2:16">
      <c r="B20" t="s">
        <v>152</v>
      </c>
      <c r="C20" s="30">
        <f>'Historical FS'!C6/'Historical FS'!C48</f>
        <v>30.56405529953917</v>
      </c>
      <c r="D20" s="30">
        <f>'Historical FS'!D6/'Historical FS'!D48</f>
        <v>27.133587786259543</v>
      </c>
      <c r="E20" s="30">
        <f>'Historical FS'!E6/'Historical FS'!E48</f>
        <v>21.646475770925111</v>
      </c>
      <c r="F20" s="30">
        <f>'Historical FS'!F6/'Historical FS'!F48</f>
        <v>34.624020887728463</v>
      </c>
      <c r="G20" s="30">
        <f>'Historical FS'!G6/'Historical FS'!G48</f>
        <v>26.750853242320819</v>
      </c>
      <c r="H20" s="30">
        <f>'Historical FS'!H6/'Historical FS'!H48</f>
        <v>23.455277280858677</v>
      </c>
      <c r="I20" s="30">
        <f>'Historical FS'!I6/'Historical FS'!I48</f>
        <v>19.67521922702176</v>
      </c>
      <c r="J20" s="30">
        <f>'Historical FS'!J6/'Historical FS'!J48</f>
        <v>20.652652652652652</v>
      </c>
      <c r="K20" s="30">
        <f>'Historical FS'!K6/'Historical FS'!K48</f>
        <v>16.52814873003404</v>
      </c>
      <c r="L20" s="30">
        <f>'Historical FS'!L6/'Historical FS'!L48</f>
        <v>19.079017460787217</v>
      </c>
      <c r="M20" s="42">
        <f>'Historical FS'!M6/'Historical FS'!M48</f>
        <v>18.159280703069978</v>
      </c>
      <c r="N20" s="42">
        <f>'Historical FS'!N6/'Historical FS'!N48</f>
        <v>17.654045631980789</v>
      </c>
      <c r="O20" s="42">
        <f>'Historical FS'!O6/'Historical FS'!O48</f>
        <v>17.137575882508159</v>
      </c>
      <c r="P20" s="42">
        <f>'Historical FS'!P6/'Historical FS'!P48</f>
        <v>16.416645536715151</v>
      </c>
    </row>
    <row r="21" spans="2:16">
      <c r="B21" t="s">
        <v>153</v>
      </c>
      <c r="C21" s="30">
        <f>'Historical FS'!C6/'Historical FS'!C39</f>
        <v>5.3608147429679924</v>
      </c>
      <c r="D21" s="30">
        <f>'Historical FS'!D6/'Historical FS'!D39</f>
        <v>4.9574616457461644</v>
      </c>
      <c r="E21" s="30">
        <f>'Historical FS'!E6/'Historical FS'!E39</f>
        <v>5.4551762420205385</v>
      </c>
      <c r="F21" s="30">
        <f>'Historical FS'!F6/'Historical FS'!F39</f>
        <v>5.2797611147976111</v>
      </c>
      <c r="G21" s="30">
        <f>'Historical FS'!G6/'Historical FS'!G39</f>
        <v>5.342876618950239</v>
      </c>
      <c r="H21" s="30">
        <f>'Historical FS'!H6/'Historical FS'!H39</f>
        <v>5.7836347595941771</v>
      </c>
      <c r="I21" s="30">
        <f>'Historical FS'!I6/'Historical FS'!I39</f>
        <v>6.3275537915186968</v>
      </c>
      <c r="J21" s="30">
        <f>'Historical FS'!J6/'Historical FS'!J39</f>
        <v>5.9027274461186341</v>
      </c>
      <c r="K21" s="30">
        <f>'Historical FS'!K6/'Historical FS'!K39</f>
        <v>5.5785240830755631</v>
      </c>
      <c r="L21" s="30">
        <f>'Historical FS'!L6/'Historical FS'!L39</f>
        <v>4.8381238273921197</v>
      </c>
      <c r="M21" s="42">
        <f>'Historical FS'!M6/'Historical FS'!M39</f>
        <v>5.534170459401075</v>
      </c>
      <c r="N21" s="42">
        <f>'Historical FS'!N6/'Historical FS'!N39</f>
        <v>5.5348421782813872</v>
      </c>
      <c r="O21" s="42">
        <f>'Historical FS'!O6/'Historical FS'!O39</f>
        <v>5.474923652636539</v>
      </c>
      <c r="P21" s="42">
        <f>'Historical FS'!P6/'Historical FS'!P39</f>
        <v>5.442482983789275</v>
      </c>
    </row>
    <row r="22" spans="2:16">
      <c r="B22" t="s">
        <v>154</v>
      </c>
      <c r="C22" s="30">
        <f>'Historical FS'!C6/'Historical FS'!C43</f>
        <v>7.5044127630685677</v>
      </c>
      <c r="D22" s="30">
        <f>'Historical FS'!D6/'Historical FS'!D43</f>
        <v>7.8500441696113077</v>
      </c>
      <c r="E22" s="30">
        <f>'Historical FS'!E6/'Historical FS'!E43</f>
        <v>8.3372216330858961</v>
      </c>
      <c r="F22" s="30">
        <f>'Historical FS'!F6/'Historical FS'!F43</f>
        <v>7.2609965322139081</v>
      </c>
      <c r="G22" s="30">
        <f>'Historical FS'!G6/'Historical FS'!G43</f>
        <v>0.91417685593763975</v>
      </c>
      <c r="H22" s="30">
        <f>'Historical FS'!H6/'Historical FS'!H43</f>
        <v>1.018903114254075</v>
      </c>
      <c r="I22" s="30">
        <f>'Historical FS'!I6/'Historical FS'!I43</f>
        <v>1.1500056949770303</v>
      </c>
      <c r="J22" s="30">
        <f>'Historical FS'!J6/'Historical FS'!J43</f>
        <v>1.1516820482286394</v>
      </c>
      <c r="K22" s="30">
        <f>'Historical FS'!K6/'Historical FS'!K43</f>
        <v>1.1617005613324745</v>
      </c>
      <c r="L22" s="30">
        <f>'Historical FS'!L6/'Historical FS'!L43</f>
        <v>1.1225882844605419</v>
      </c>
      <c r="M22" s="42">
        <f>'Historical FS'!M6/'Historical FS'!M43</f>
        <v>0.96167787559338958</v>
      </c>
      <c r="N22" s="42">
        <f>'Historical FS'!N6/'Historical FS'!N43</f>
        <v>0.91777044956560727</v>
      </c>
      <c r="O22" s="42">
        <f>'Historical FS'!O6/'Historical FS'!O43</f>
        <v>0.89271965713363544</v>
      </c>
      <c r="P22" s="42">
        <f>'Historical FS'!P6/'Historical FS'!P43</f>
        <v>0.89294408975084583</v>
      </c>
    </row>
    <row r="23" spans="2:16">
      <c r="M23" s="39"/>
      <c r="N23" s="39"/>
      <c r="O23" s="39"/>
      <c r="P23" s="39"/>
    </row>
    <row r="24" spans="2:16">
      <c r="B24" s="10" t="s">
        <v>155</v>
      </c>
      <c r="M24" s="39"/>
      <c r="N24" s="39"/>
      <c r="O24" s="39"/>
      <c r="P24" s="39"/>
    </row>
    <row r="25" spans="2:16">
      <c r="B25" t="s">
        <v>156</v>
      </c>
      <c r="C25" s="29">
        <f>'Historical FS'!C51/SUM('Historical FS'!C37,'Historical FS'!C39)</f>
        <v>0.8438805508277889</v>
      </c>
      <c r="D25" s="29">
        <f>'Historical FS'!D51/SUM('Historical FS'!D37,'Historical FS'!D39)</f>
        <v>1.0192468619246862</v>
      </c>
      <c r="E25" s="29">
        <f>'Historical FS'!E51/SUM('Historical FS'!E37,'Historical FS'!E39)</f>
        <v>1.1152635181382615</v>
      </c>
      <c r="F25" s="29">
        <f>'Historical FS'!F51/SUM('Historical FS'!F37,'Historical FS'!F39)</f>
        <v>1.1982747179827471</v>
      </c>
      <c r="G25" s="29">
        <f>'Historical FS'!G51/SUM('Historical FS'!G37,'Historical FS'!G39)</f>
        <v>1.1142922063167462</v>
      </c>
      <c r="H25" s="29">
        <f>'Historical FS'!H51/SUM('Historical FS'!H37,'Historical FS'!H39)</f>
        <v>1.0066264464444665</v>
      </c>
      <c r="I25" s="29">
        <f>'Historical FS'!I51/SUM('Historical FS'!I37,'Historical FS'!I39)</f>
        <v>1.112572963958121</v>
      </c>
      <c r="J25" s="29">
        <f>'Historical FS'!J51/SUM('Historical FS'!J37,'Historical FS'!J39)</f>
        <v>1.2178780284043442</v>
      </c>
      <c r="K25" s="29">
        <f>'Historical FS'!K51/SUM('Historical FS'!K37,'Historical FS'!K39)</f>
        <v>1.2179279487772892</v>
      </c>
      <c r="L25" s="29">
        <f>'Historical FS'!L51/SUM('Historical FS'!L37,'Historical FS'!L39)</f>
        <v>0.77119502803485784</v>
      </c>
      <c r="M25" s="40">
        <f>'Historical FS'!M51/SUM('Historical FS'!M37,'Historical FS'!M39)</f>
        <v>1.0492760001775332</v>
      </c>
      <c r="N25" s="40">
        <f>'Historical FS'!N51/SUM('Historical FS'!N37,'Historical FS'!N39)</f>
        <v>1.0229446057353166</v>
      </c>
      <c r="O25" s="40">
        <f>'Historical FS'!O51/SUM('Historical FS'!O37,'Historical FS'!O39)</f>
        <v>1.0026460310577399</v>
      </c>
      <c r="P25" s="40">
        <f>'Historical FS'!P51/SUM('Historical FS'!P37,'Historical FS'!P39)</f>
        <v>0.98738228207182255</v>
      </c>
    </row>
    <row r="26" spans="2:16">
      <c r="B26" t="s">
        <v>157</v>
      </c>
      <c r="C26" s="29">
        <f>('Historical FS'!C51-'Historical FS'!C49)/SUM('Historical FS'!C39,'Historical FS'!C37)</f>
        <v>0.45071948011759244</v>
      </c>
      <c r="D26" s="29">
        <f>('Historical FS'!D51-'Historical FS'!D49)/SUM('Historical FS'!D39,'Historical FS'!D37)</f>
        <v>0.66875871687587174</v>
      </c>
      <c r="E26" s="29">
        <f>('Historical FS'!E51-'Historical FS'!E49)/SUM('Historical FS'!E39,'Historical FS'!E37)</f>
        <v>0.76290212183436001</v>
      </c>
      <c r="F26" s="29">
        <f>('Historical FS'!F51-'Historical FS'!F49)/SUM('Historical FS'!F39,'Historical FS'!F37)</f>
        <v>0.83105507631055076</v>
      </c>
      <c r="G26" s="29">
        <f>('Historical FS'!G51-'Historical FS'!G49)/SUM('Historical FS'!G39,'Historical FS'!G37)</f>
        <v>0.70768007271074751</v>
      </c>
      <c r="H26" s="29">
        <f>('Historical FS'!H51-'Historical FS'!H49)/SUM('Historical FS'!H39,'Historical FS'!H37)</f>
        <v>0.60152309366036993</v>
      </c>
      <c r="I26" s="29">
        <f>('Historical FS'!I51-'Historical FS'!I49)/SUM('Historical FS'!I39,'Historical FS'!I37)</f>
        <v>0.71870656907254704</v>
      </c>
      <c r="J26" s="29">
        <f>('Historical FS'!J51-'Historical FS'!J49)/SUM('Historical FS'!J39,'Historical FS'!J37)</f>
        <v>0.88187134502923981</v>
      </c>
      <c r="K26" s="29">
        <f>('Historical FS'!K51-'Historical FS'!K49)/SUM('Historical FS'!K39,'Historical FS'!K37)</f>
        <v>0.87734320759083551</v>
      </c>
      <c r="L26" s="29">
        <f>('Historical FS'!L51-'Historical FS'!L49)/SUM('Historical FS'!L39,'Historical FS'!L37)</f>
        <v>0.44767952442072551</v>
      </c>
      <c r="M26" s="40">
        <f>('Historical FS'!M51-'Historical FS'!M49)/SUM('Historical FS'!M39,'Historical FS'!M37)</f>
        <v>0.70585817100707993</v>
      </c>
      <c r="N26" s="40">
        <f>('Historical FS'!N51-'Historical FS'!N49)/SUM('Historical FS'!N39,'Historical FS'!N37)</f>
        <v>0.68218892895755179</v>
      </c>
      <c r="O26" s="40">
        <f>('Historical FS'!O51-'Historical FS'!O49)/SUM('Historical FS'!O39,'Historical FS'!O37)</f>
        <v>0.66814339728944172</v>
      </c>
      <c r="P26" s="40">
        <f>('Historical FS'!P51-'Historical FS'!P49)/SUM('Historical FS'!P39,'Historical FS'!P37)</f>
        <v>0.66023870096298187</v>
      </c>
    </row>
    <row r="27" spans="2:16">
      <c r="B27" t="s">
        <v>158</v>
      </c>
      <c r="C27" s="29">
        <f>'Historical FS'!C50/SUM('Historical FS'!C39,'Historical FS'!C37)</f>
        <v>0.28284078601268758</v>
      </c>
      <c r="D27" s="29">
        <f>'Historical FS'!D50/SUM('Historical FS'!D39,'Historical FS'!D37)</f>
        <v>0.48605299860529988</v>
      </c>
      <c r="E27" s="29">
        <f>'Historical FS'!E50/SUM('Historical FS'!E39,'Historical FS'!E37)</f>
        <v>0.51430527036276519</v>
      </c>
      <c r="F27" s="29">
        <f>'Historical FS'!F50/SUM('Historical FS'!F39,'Historical FS'!F37)</f>
        <v>0.67856668878566684</v>
      </c>
      <c r="G27" s="29">
        <f>'Historical FS'!G50/SUM('Historical FS'!G39,'Historical FS'!G37)</f>
        <v>0.50795273801408769</v>
      </c>
      <c r="H27" s="29">
        <f>'Historical FS'!H50/SUM('Historical FS'!H39,'Historical FS'!H37)</f>
        <v>0.38037780634952034</v>
      </c>
      <c r="I27" s="29">
        <f>'Historical FS'!I50/SUM('Historical FS'!I39,'Historical FS'!I37)</f>
        <v>0.43342907440007411</v>
      </c>
      <c r="J27" s="29">
        <f>'Historical FS'!J50/SUM('Historical FS'!J39,'Historical FS'!J37)</f>
        <v>0.63149540517961567</v>
      </c>
      <c r="K27" s="29">
        <f>'Historical FS'!K50/SUM('Historical FS'!K39,'Historical FS'!K37)</f>
        <v>0.58273547789863456</v>
      </c>
      <c r="L27" s="29">
        <f>'Historical FS'!L50/SUM('Historical FS'!L39,'Historical FS'!L37)</f>
        <v>0.21941498344930083</v>
      </c>
      <c r="M27" s="40">
        <f>'Historical FS'!M50/SUM('Historical FS'!M39,'Historical FS'!M37)</f>
        <v>0.43936063062984487</v>
      </c>
      <c r="N27" s="40">
        <f>'Historical FS'!N50/SUM('Historical FS'!N39,'Historical FS'!N37)</f>
        <v>0.41185024179525448</v>
      </c>
      <c r="O27" s="40">
        <f>'Historical FS'!O50/SUM('Historical FS'!O39,'Historical FS'!O37)</f>
        <v>0.39498274351255885</v>
      </c>
      <c r="P27" s="40">
        <f>'Historical FS'!P50/SUM('Historical FS'!P39,'Historical FS'!P37)</f>
        <v>0.37896737305568484</v>
      </c>
    </row>
    <row r="28" spans="2:16">
      <c r="M28" s="39"/>
      <c r="N28" s="39"/>
      <c r="O28" s="39"/>
      <c r="P28" s="39"/>
    </row>
    <row r="29" spans="2:16">
      <c r="B29" s="10" t="s">
        <v>159</v>
      </c>
      <c r="M29" s="39"/>
      <c r="N29" s="39"/>
      <c r="O29" s="39"/>
      <c r="P29" s="39"/>
    </row>
    <row r="30" spans="2:16">
      <c r="B30" t="s">
        <v>160</v>
      </c>
      <c r="C30" s="43">
        <f>'Historical FS'!C6/'Data Sheet'!B124</f>
        <v>153.22275100494386</v>
      </c>
      <c r="D30" s="43">
        <f>'Historical FS'!D6/'Data Sheet'!C124</f>
        <v>164.21806421806423</v>
      </c>
      <c r="E30" s="43">
        <f>'Historical FS'!E6/'Data Sheet'!D124</f>
        <v>181.5956021619624</v>
      </c>
      <c r="F30" s="43">
        <f>'Historical FS'!F6/'Data Sheet'!E124</f>
        <v>183.77217294900223</v>
      </c>
      <c r="G30" s="43">
        <f>'Historical FS'!G6/'Data Sheet'!F124</f>
        <v>200.15321756894789</v>
      </c>
      <c r="H30" s="43">
        <f>'Historical FS'!H6/'Data Sheet'!G124</f>
        <v>223.21246169560774</v>
      </c>
      <c r="I30" s="43">
        <f>'Historical FS'!I6/'Data Sheet'!H124</f>
        <v>257.83112019067073</v>
      </c>
      <c r="J30" s="43">
        <f>'Historical FS'!J6/'Data Sheet'!I124</f>
        <v>263.43207354443308</v>
      </c>
      <c r="K30" s="43">
        <f>'Historical FS'!K6/'Data Sheet'!J124</f>
        <v>268.6457269322438</v>
      </c>
      <c r="L30" s="43">
        <f>'Historical FS'!L6/'Data Sheet'!K124</f>
        <v>274.37861763704461</v>
      </c>
      <c r="M30" s="44">
        <f t="shared" ref="M30:P32" si="0">FORECAST(M$3,C30:L30,C$3:L$3)</f>
        <v>299.55550412947196</v>
      </c>
      <c r="N30" s="44">
        <f t="shared" si="0"/>
        <v>315.53372555790315</v>
      </c>
      <c r="O30" s="44">
        <f t="shared" si="0"/>
        <v>331.08567186132927</v>
      </c>
      <c r="P30" s="44">
        <f t="shared" si="0"/>
        <v>347.41062414861835</v>
      </c>
    </row>
    <row r="31" spans="2:16">
      <c r="B31" t="s">
        <v>161</v>
      </c>
      <c r="C31" s="43">
        <f>'Data Sheet'!B121/'Ratio Analysis'!C30</f>
        <v>5.6950419848018816</v>
      </c>
      <c r="D31" s="43">
        <f>'Data Sheet'!C121/'Ratio Analysis'!D30</f>
        <v>7.7708259811506526</v>
      </c>
      <c r="E31" s="43">
        <f>'Data Sheet'!D121/'Ratio Analysis'!E30</f>
        <v>8.9954270948867965</v>
      </c>
      <c r="F31" s="43">
        <f>'Data Sheet'!E121/'Ratio Analysis'!F30</f>
        <v>11.970419485709975</v>
      </c>
      <c r="G31" s="43">
        <f>'Data Sheet'!F121/'Ratio Analysis'!G30</f>
        <v>11.626692931870375</v>
      </c>
      <c r="H31" s="43">
        <f>'Data Sheet'!G121/'Ratio Analysis'!H30</f>
        <v>8.7840077794302722</v>
      </c>
      <c r="I31" s="43">
        <f>'Data Sheet'!H121/'Ratio Analysis'!I30</f>
        <v>9.5040505513370768</v>
      </c>
      <c r="J31" s="43">
        <f>'Data Sheet'!I121/'Ratio Analysis'!J30</f>
        <v>8.2265609150833647</v>
      </c>
      <c r="K31" s="43">
        <f>'Data Sheet'!J121/'Ratio Analysis'!K30</f>
        <v>8.047326956163559</v>
      </c>
      <c r="L31" s="43">
        <f>'Data Sheet'!K121/'Ratio Analysis'!L30</f>
        <v>7.4903795991809883</v>
      </c>
      <c r="M31" s="44">
        <f t="shared" si="0"/>
        <v>8.944772171112664</v>
      </c>
      <c r="N31" s="44">
        <f t="shared" si="0"/>
        <v>8.1676670581812516</v>
      </c>
      <c r="O31" s="44">
        <f t="shared" si="0"/>
        <v>7.4163617097952255</v>
      </c>
      <c r="P31" s="44">
        <f t="shared" si="0"/>
        <v>6.6642982289064321</v>
      </c>
    </row>
    <row r="32" spans="2:16">
      <c r="B32" t="s">
        <v>162</v>
      </c>
      <c r="C32" s="43">
        <f>SUM('Historical FS'!C35:C36)/'Data Sheet'!B124</f>
        <v>31.16019036177979</v>
      </c>
      <c r="D32" s="43">
        <f>SUM('Historical FS'!D35:D36)/'Data Sheet'!C124</f>
        <v>33.638253638253637</v>
      </c>
      <c r="E32" s="43">
        <f>SUM('Historical FS'!E35:E36)/'Data Sheet'!D124</f>
        <v>36.34221832124544</v>
      </c>
      <c r="F32" s="43">
        <f>SUM('Historical FS'!F35:F36)/'Data Sheet'!E124</f>
        <v>38.012749445676278</v>
      </c>
      <c r="G32" s="43">
        <f>SUM('Historical FS'!G35:G36)/'Data Sheet'!F124</f>
        <v>202.90262172284645</v>
      </c>
      <c r="H32" s="43">
        <f>SUM('Historical FS'!H35:H36)/'Data Sheet'!G124</f>
        <v>208.80575417092271</v>
      </c>
      <c r="I32" s="43">
        <f>SUM('Historical FS'!I35:I36)/'Data Sheet'!H124</f>
        <v>214.09601634320734</v>
      </c>
      <c r="J32" s="43">
        <f>SUM('Historical FS'!J35:J36)/'Data Sheet'!I124</f>
        <v>217.98604017705139</v>
      </c>
      <c r="K32" s="43">
        <f>SUM('Historical FS'!K35:K36)/'Data Sheet'!J124</f>
        <v>210.25706503234593</v>
      </c>
      <c r="L32" s="43">
        <f>SUM('Historical FS'!L35:L36)/'Data Sheet'!K124</f>
        <v>207.43530813755532</v>
      </c>
      <c r="M32" s="44">
        <f t="shared" si="0"/>
        <v>282.20644890044423</v>
      </c>
      <c r="N32" s="44">
        <f t="shared" si="0"/>
        <v>310.0123270564518</v>
      </c>
      <c r="O32" s="44">
        <f t="shared" si="0"/>
        <v>332.87592628662378</v>
      </c>
      <c r="P32" s="44">
        <f t="shared" si="0"/>
        <v>347.18670176160049</v>
      </c>
    </row>
    <row r="33" spans="2:16">
      <c r="M33" s="39"/>
      <c r="N33" s="39"/>
      <c r="O33" s="39"/>
      <c r="P33" s="39"/>
    </row>
    <row r="34" spans="2:16">
      <c r="B34" s="10" t="s">
        <v>163</v>
      </c>
      <c r="M34" s="39"/>
      <c r="N34" s="39"/>
      <c r="O34" s="39"/>
      <c r="P34" s="39"/>
    </row>
    <row r="35" spans="2:16">
      <c r="B35" s="45" t="s">
        <v>164</v>
      </c>
      <c r="M35" s="39"/>
      <c r="N35" s="39"/>
      <c r="O35" s="39"/>
      <c r="P35" s="39"/>
    </row>
    <row r="36" spans="2:16">
      <c r="B36" t="s">
        <v>165</v>
      </c>
      <c r="C36" s="27">
        <f>365/C19</f>
        <v>49.663453815261043</v>
      </c>
      <c r="D36" s="27">
        <f t="shared" ref="D36:P36" si="1">365/D19</f>
        <v>47.491198094646371</v>
      </c>
      <c r="E36" s="27">
        <f t="shared" si="1"/>
        <v>44.566671410274651</v>
      </c>
      <c r="F36" s="27">
        <f t="shared" si="1"/>
        <v>48.993645095566123</v>
      </c>
      <c r="G36" s="27">
        <f t="shared" si="1"/>
        <v>51.631753685625071</v>
      </c>
      <c r="H36" s="27">
        <f t="shared" si="1"/>
        <v>51.436042111057596</v>
      </c>
      <c r="I36" s="27">
        <f t="shared" si="1"/>
        <v>43.854469913230261</v>
      </c>
      <c r="J36" s="27">
        <f t="shared" si="1"/>
        <v>43.625152298594394</v>
      </c>
      <c r="K36" s="27">
        <f t="shared" si="1"/>
        <v>46.670190274841438</v>
      </c>
      <c r="L36" s="27">
        <f t="shared" si="1"/>
        <v>50.17178530424799</v>
      </c>
      <c r="M36" s="41">
        <f t="shared" si="1"/>
        <v>47.129152133990317</v>
      </c>
      <c r="N36" s="41">
        <f t="shared" si="1"/>
        <v>47.216778348112705</v>
      </c>
      <c r="O36" s="41">
        <f t="shared" si="1"/>
        <v>47.15651437736728</v>
      </c>
      <c r="P36" s="41">
        <f t="shared" si="1"/>
        <v>46.736178025458315</v>
      </c>
    </row>
    <row r="37" spans="2:16">
      <c r="B37" t="s">
        <v>166</v>
      </c>
      <c r="C37" s="27">
        <f>365/C20</f>
        <v>11.942132561365419</v>
      </c>
      <c r="D37" s="27">
        <f t="shared" ref="D37:P37" si="2">365/D20</f>
        <v>13.4519623013082</v>
      </c>
      <c r="E37" s="27">
        <f t="shared" si="2"/>
        <v>16.861867209361485</v>
      </c>
      <c r="F37" s="27">
        <f t="shared" si="2"/>
        <v>10.541814342809742</v>
      </c>
      <c r="G37" s="27">
        <f t="shared" si="2"/>
        <v>13.644424598111764</v>
      </c>
      <c r="H37" s="27">
        <f t="shared" si="2"/>
        <v>15.561529954619989</v>
      </c>
      <c r="I37" s="27">
        <f t="shared" si="2"/>
        <v>18.551254539451964</v>
      </c>
      <c r="J37" s="27">
        <f t="shared" si="2"/>
        <v>17.673274525009695</v>
      </c>
      <c r="K37" s="27">
        <f t="shared" si="2"/>
        <v>22.08353796676225</v>
      </c>
      <c r="L37" s="27">
        <f t="shared" si="2"/>
        <v>19.13096419929267</v>
      </c>
      <c r="M37" s="41">
        <f t="shared" si="2"/>
        <v>20.099915077489477</v>
      </c>
      <c r="N37" s="41">
        <f t="shared" si="2"/>
        <v>20.675147646542413</v>
      </c>
      <c r="O37" s="41">
        <f t="shared" si="2"/>
        <v>21.298228086770735</v>
      </c>
      <c r="P37" s="41">
        <f t="shared" si="2"/>
        <v>22.23353115493007</v>
      </c>
    </row>
    <row r="38" spans="2:16">
      <c r="B38" t="s">
        <v>167</v>
      </c>
      <c r="C38" s="27">
        <f>365/C21</f>
        <v>68.08666546046679</v>
      </c>
      <c r="D38" s="27">
        <f t="shared" ref="D38:P38" si="3">365/D21</f>
        <v>73.626389084259387</v>
      </c>
      <c r="E38" s="27">
        <f t="shared" si="3"/>
        <v>66.908929025693212</v>
      </c>
      <c r="F38" s="27">
        <f t="shared" si="3"/>
        <v>69.1319156423598</v>
      </c>
      <c r="G38" s="27">
        <f t="shared" si="3"/>
        <v>68.315258994641482</v>
      </c>
      <c r="H38" s="27">
        <f t="shared" si="3"/>
        <v>63.109102696106476</v>
      </c>
      <c r="I38" s="27">
        <f t="shared" si="3"/>
        <v>57.684219214262129</v>
      </c>
      <c r="J38" s="27">
        <f t="shared" si="3"/>
        <v>61.835821377795014</v>
      </c>
      <c r="K38" s="27">
        <f t="shared" si="3"/>
        <v>65.429492561904922</v>
      </c>
      <c r="L38" s="27">
        <f t="shared" si="3"/>
        <v>75.44246758081529</v>
      </c>
      <c r="M38" s="41">
        <f t="shared" si="3"/>
        <v>65.953877401799701</v>
      </c>
      <c r="N38" s="41">
        <f t="shared" si="3"/>
        <v>65.94587311491064</v>
      </c>
      <c r="O38" s="41">
        <f t="shared" si="3"/>
        <v>66.667596327891857</v>
      </c>
      <c r="P38" s="41">
        <f t="shared" si="3"/>
        <v>67.064977710940383</v>
      </c>
    </row>
    <row r="39" spans="2:16">
      <c r="M39" s="39"/>
      <c r="N39" s="39"/>
      <c r="O39" s="39"/>
      <c r="P39" s="39"/>
    </row>
    <row r="40" spans="2:16">
      <c r="B40" t="s">
        <v>168</v>
      </c>
      <c r="C40" s="46">
        <f>SUM(C36:C37)-C38</f>
        <v>-6.4810790838403278</v>
      </c>
      <c r="D40" s="46">
        <f t="shared" ref="D40:P40" si="4">SUM(D36:D37)-D38</f>
        <v>-12.683228688304816</v>
      </c>
      <c r="E40" s="46">
        <f t="shared" si="4"/>
        <v>-5.4803904060570758</v>
      </c>
      <c r="F40" s="46">
        <f t="shared" si="4"/>
        <v>-9.5964562039839336</v>
      </c>
      <c r="G40" s="46">
        <f t="shared" si="4"/>
        <v>-3.039080710904642</v>
      </c>
      <c r="H40" s="46">
        <f t="shared" si="4"/>
        <v>3.8884693695711121</v>
      </c>
      <c r="I40" s="46">
        <f t="shared" si="4"/>
        <v>4.7215052384200931</v>
      </c>
      <c r="J40" s="46">
        <f t="shared" si="4"/>
        <v>-0.53739455419092508</v>
      </c>
      <c r="K40" s="46">
        <f t="shared" si="4"/>
        <v>3.3242356796987593</v>
      </c>
      <c r="L40" s="46">
        <f t="shared" si="4"/>
        <v>-6.1397180772746225</v>
      </c>
      <c r="M40" s="47">
        <f t="shared" si="4"/>
        <v>1.2751898096800858</v>
      </c>
      <c r="N40" s="47">
        <f t="shared" si="4"/>
        <v>1.9460528797444709</v>
      </c>
      <c r="O40" s="47">
        <f t="shared" si="4"/>
        <v>1.7871461362461503</v>
      </c>
      <c r="P40" s="47">
        <f t="shared" si="4"/>
        <v>1.9047314694479951</v>
      </c>
    </row>
  </sheetData>
  <mergeCells count="1">
    <mergeCell ref="B2:P2"/>
  </mergeCells>
  <pageMargins left="0.7" right="0.7" top="0.75" bottom="0.75" header="0.3" footer="0.3"/>
  <pageSetup scale="78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O24"/>
  <sheetViews>
    <sheetView showGridLines="0" zoomScaleNormal="100" workbookViewId="0">
      <selection activeCell="S11" sqref="S11"/>
    </sheetView>
  </sheetViews>
  <sheetFormatPr defaultColWidth="9" defaultRowHeight="14.4"/>
  <cols>
    <col min="1" max="1" width="1.88671875" customWidth="1"/>
    <col min="2" max="2" width="22.77734375" customWidth="1"/>
    <col min="3" max="3" width="22.5546875" customWidth="1"/>
    <col min="5" max="5" width="14.33203125" customWidth="1"/>
    <col min="6" max="6" width="12.6640625" customWidth="1"/>
  </cols>
  <sheetData>
    <row r="2" spans="2:15">
      <c r="B2" s="97" t="str">
        <f>"WACC Calculation for "&amp;'Data Sheet'!B1</f>
        <v>WACC Calculation for HINDUSTAN UNILEVER LTD</v>
      </c>
      <c r="C2" s="97"/>
      <c r="E2" s="97" t="str">
        <f>"Discounted Cash Flow Statement for "&amp;'Data Sheet'!B1</f>
        <v>Discounted Cash Flow Statement for HINDUSTAN UNILEVER LTD</v>
      </c>
      <c r="F2" s="97"/>
      <c r="G2" s="97"/>
      <c r="H2" s="97"/>
      <c r="I2" s="97"/>
      <c r="J2" s="97"/>
      <c r="K2" s="97"/>
    </row>
    <row r="3" spans="2:15">
      <c r="F3">
        <v>1</v>
      </c>
      <c r="G3">
        <v>2</v>
      </c>
      <c r="H3">
        <v>3</v>
      </c>
      <c r="I3">
        <v>4</v>
      </c>
      <c r="J3">
        <v>5</v>
      </c>
      <c r="K3">
        <v>6</v>
      </c>
      <c r="L3">
        <v>7</v>
      </c>
      <c r="M3">
        <v>8</v>
      </c>
      <c r="N3">
        <v>9</v>
      </c>
      <c r="O3">
        <v>10</v>
      </c>
    </row>
    <row r="4" spans="2:15">
      <c r="B4" t="s">
        <v>169</v>
      </c>
      <c r="C4" s="23">
        <f>'Data Sheet'!B9/100</f>
        <v>5166.8608999999997</v>
      </c>
    </row>
    <row r="5" spans="2:15">
      <c r="B5" t="s">
        <v>170</v>
      </c>
      <c r="C5" s="23">
        <v>1478</v>
      </c>
      <c r="E5" t="s">
        <v>83</v>
      </c>
      <c r="F5" s="24">
        <f>'Historical FS'!C21</f>
        <v>5896</v>
      </c>
      <c r="G5" s="24">
        <f>'Historical FS'!D21</f>
        <v>6979</v>
      </c>
      <c r="H5" s="24">
        <f>'Historical FS'!E21</f>
        <v>8315</v>
      </c>
      <c r="I5" s="24">
        <f>'Historical FS'!F21</f>
        <v>8859</v>
      </c>
      <c r="J5" s="24">
        <f>'Historical FS'!G21</f>
        <v>10552</v>
      </c>
      <c r="K5" s="24">
        <f>'Historical FS'!H21</f>
        <v>11766</v>
      </c>
      <c r="L5" s="24">
        <f>'Historical FS'!I21</f>
        <v>13010</v>
      </c>
      <c r="M5" s="24">
        <f>'Historical FS'!J21</f>
        <v>13443</v>
      </c>
      <c r="N5" s="24">
        <f>'Historical FS'!K21</f>
        <v>13488</v>
      </c>
      <c r="O5" s="24">
        <f>'Historical FS'!L21</f>
        <v>13706</v>
      </c>
    </row>
    <row r="6" spans="2:15">
      <c r="B6" t="s">
        <v>171</v>
      </c>
      <c r="C6" s="25">
        <v>7.0199999999999999E-2</v>
      </c>
      <c r="E6" t="s">
        <v>172</v>
      </c>
      <c r="F6" s="26">
        <f>$C$10</f>
        <v>0.23766546329723226</v>
      </c>
      <c r="G6" s="26">
        <f t="shared" ref="G6:O6" si="0">$C$10</f>
        <v>0.23766546329723226</v>
      </c>
      <c r="H6" s="26">
        <f t="shared" si="0"/>
        <v>0.23766546329723226</v>
      </c>
      <c r="I6" s="26">
        <f t="shared" si="0"/>
        <v>0.23766546329723226</v>
      </c>
      <c r="J6" s="26">
        <f t="shared" si="0"/>
        <v>0.23766546329723226</v>
      </c>
      <c r="K6" s="26">
        <f t="shared" si="0"/>
        <v>0.23766546329723226</v>
      </c>
      <c r="L6" s="26">
        <f t="shared" si="0"/>
        <v>0.23766546329723226</v>
      </c>
      <c r="M6" s="26">
        <f t="shared" si="0"/>
        <v>0.23766546329723226</v>
      </c>
      <c r="N6" s="26">
        <f t="shared" si="0"/>
        <v>0.23766546329723226</v>
      </c>
      <c r="O6" s="26">
        <f t="shared" si="0"/>
        <v>0.23766546329723226</v>
      </c>
    </row>
    <row r="7" spans="2:15">
      <c r="B7" t="s">
        <v>173</v>
      </c>
      <c r="C7" s="25">
        <v>4.1799999999999997E-2</v>
      </c>
      <c r="E7" t="s">
        <v>9</v>
      </c>
      <c r="F7" s="24">
        <f>'Historical FS'!C19</f>
        <v>432</v>
      </c>
      <c r="G7" s="24">
        <f>'Historical FS'!D19</f>
        <v>520</v>
      </c>
      <c r="H7" s="24">
        <f>'Historical FS'!E19</f>
        <v>565</v>
      </c>
      <c r="I7" s="24">
        <f>'Historical FS'!F19</f>
        <v>1002</v>
      </c>
      <c r="J7" s="24">
        <f>'Historical FS'!G19</f>
        <v>1074</v>
      </c>
      <c r="K7" s="24">
        <f>'Historical FS'!H19</f>
        <v>1091</v>
      </c>
      <c r="L7" s="24">
        <f>'Historical FS'!I19</f>
        <v>1137</v>
      </c>
      <c r="M7" s="24">
        <f>'Historical FS'!J19</f>
        <v>1216</v>
      </c>
      <c r="N7" s="24">
        <f>'Historical FS'!K19</f>
        <v>1355</v>
      </c>
      <c r="O7" s="24">
        <f>'Historical FS'!L19</f>
        <v>1333</v>
      </c>
    </row>
    <row r="8" spans="2:15">
      <c r="B8" t="s">
        <v>174</v>
      </c>
      <c r="C8" s="27">
        <f>C6+(C9*C7)</f>
        <v>0.102386</v>
      </c>
      <c r="E8" t="s">
        <v>175</v>
      </c>
      <c r="F8" s="24">
        <f>'Historical FS'!C74</f>
        <v>-1113</v>
      </c>
      <c r="G8" s="24">
        <f>'Historical FS'!D74</f>
        <v>-895</v>
      </c>
      <c r="H8" s="24">
        <f>'Historical FS'!E74</f>
        <v>-767</v>
      </c>
      <c r="I8" s="24">
        <f>'Historical FS'!F74</f>
        <v>-862</v>
      </c>
      <c r="J8" s="24">
        <f>'Historical FS'!G74</f>
        <v>-4613</v>
      </c>
      <c r="K8" s="24">
        <f>'Historical FS'!H74</f>
        <v>-1228</v>
      </c>
      <c r="L8" s="24">
        <f>'Historical FS'!I74</f>
        <v>-1192</v>
      </c>
      <c r="M8" s="24">
        <f>'Historical FS'!J74</f>
        <v>-1477</v>
      </c>
      <c r="N8" s="24">
        <f>'Historical FS'!K74</f>
        <v>-1275</v>
      </c>
      <c r="O8" s="24">
        <f>'Historical FS'!L74</f>
        <v>-1360</v>
      </c>
    </row>
    <row r="9" spans="2:15">
      <c r="B9" t="s">
        <v>176</v>
      </c>
      <c r="C9" s="28">
        <v>0.77</v>
      </c>
      <c r="E9" t="s">
        <v>177</v>
      </c>
      <c r="F9" s="24">
        <f>'Historical FS'!C48+'Historical FS'!C49-'Historical FS'!C39</f>
        <v>-2560</v>
      </c>
      <c r="G9" s="24">
        <f>'Historical FS'!D48+'Historical FS'!D49-'Historical FS'!D39</f>
        <v>-3347</v>
      </c>
      <c r="H9" s="24">
        <f>'Historical FS'!E48+'Historical FS'!E49-'Historical FS'!E39</f>
        <v>-2816</v>
      </c>
      <c r="I9" s="24">
        <f>'Historical FS'!F48+'Historical FS'!F49-'Historical FS'!F39</f>
        <v>-3619</v>
      </c>
      <c r="J9" s="24">
        <f>'Historical FS'!G48+'Historical FS'!G49-'Historical FS'!G39</f>
        <v>-3465</v>
      </c>
      <c r="K9" s="24">
        <f>'Historical FS'!H48+'Historical FS'!H49-'Historical FS'!H39</f>
        <v>-2736</v>
      </c>
      <c r="L9" s="24">
        <f>'Historical FS'!I48+'Historical FS'!I49-'Historical FS'!I39</f>
        <v>-2244</v>
      </c>
      <c r="M9" s="24">
        <f>'Historical FS'!J48+'Historical FS'!J49-'Historical FS'!J39</f>
        <v>-3467</v>
      </c>
      <c r="N9" s="24">
        <f>'Historical FS'!K48+'Historical FS'!K49-'Historical FS'!K39</f>
        <v>-3081</v>
      </c>
      <c r="O9" s="24">
        <f>'Historical FS'!L48+'Historical FS'!L49-'Historical FS'!L39</f>
        <v>-5157</v>
      </c>
    </row>
    <row r="10" spans="2:15">
      <c r="B10" t="s">
        <v>172</v>
      </c>
      <c r="C10" s="29">
        <f>'Historical FS'!L29/'Historical FS'!L26</f>
        <v>0.23766546329723226</v>
      </c>
      <c r="E10" s="10" t="s">
        <v>178</v>
      </c>
      <c r="F10" s="24">
        <f>F5*(1-F6)+F7+F8+F9</f>
        <v>1253.7244283995187</v>
      </c>
      <c r="G10" s="24">
        <f t="shared" ref="G10:O10" si="1">G5*(1-G6)+G7+G8+G9</f>
        <v>1598.3327316486157</v>
      </c>
      <c r="H10" s="24">
        <f t="shared" si="1"/>
        <v>3320.8116726835142</v>
      </c>
      <c r="I10" s="24">
        <f t="shared" si="1"/>
        <v>3274.5216606498198</v>
      </c>
      <c r="J10" s="24">
        <f t="shared" si="1"/>
        <v>1040.1540312876059</v>
      </c>
      <c r="K10" s="24">
        <f t="shared" si="1"/>
        <v>6096.6281588447655</v>
      </c>
      <c r="L10" s="24">
        <f t="shared" si="1"/>
        <v>7618.9723225030084</v>
      </c>
      <c r="M10" s="24">
        <f t="shared" si="1"/>
        <v>6520.0631768953062</v>
      </c>
      <c r="N10" s="24">
        <f t="shared" si="1"/>
        <v>7281.3682310469321</v>
      </c>
      <c r="O10" s="24">
        <f t="shared" si="1"/>
        <v>5264.5571600481344</v>
      </c>
    </row>
    <row r="11" spans="2:15">
      <c r="B11" t="s">
        <v>179</v>
      </c>
      <c r="C11" s="30">
        <f>(('Historical FS'!L78+'Historical FS'!L89)/'DCF Modelling'!C5)*(1-C10)</f>
        <v>0.15215743459223038</v>
      </c>
    </row>
    <row r="12" spans="2:15">
      <c r="E12" t="s">
        <v>180</v>
      </c>
      <c r="F12" s="31">
        <v>3.7999999999999999E-2</v>
      </c>
    </row>
    <row r="13" spans="2:15">
      <c r="B13" t="s">
        <v>181</v>
      </c>
      <c r="C13" s="32">
        <f>C6+(C8-C6)*C9</f>
        <v>9.4983219999999993E-2</v>
      </c>
      <c r="E13" t="s">
        <v>182</v>
      </c>
      <c r="F13" s="33">
        <f>C17</f>
        <v>9.9656788842607064E-2</v>
      </c>
    </row>
    <row r="14" spans="2:15">
      <c r="B14" t="s">
        <v>183</v>
      </c>
      <c r="C14" s="32">
        <f>C4/SUM(C4:C5)</f>
        <v>0.77757246957569903</v>
      </c>
      <c r="E14" s="34" t="s">
        <v>184</v>
      </c>
      <c r="F14" s="34">
        <f>(O10*(1+F12))/(F13-F12)</f>
        <v>88629.499438895858</v>
      </c>
    </row>
    <row r="15" spans="2:15">
      <c r="B15" t="s">
        <v>185</v>
      </c>
      <c r="C15" s="32">
        <f>C5/SUM(C4:C5)</f>
        <v>0.222427530424301</v>
      </c>
    </row>
    <row r="16" spans="2:15">
      <c r="E16" t="s">
        <v>186</v>
      </c>
      <c r="F16" s="27">
        <f>1/((1+$F$13)^F3)</f>
        <v>0.90937464320345252</v>
      </c>
      <c r="G16" s="27">
        <f t="shared" ref="G16:O16" si="2">1/((1+$F$13)^G3)</f>
        <v>0.82696224170140642</v>
      </c>
      <c r="H16" s="27">
        <f t="shared" si="2"/>
        <v>0.75201849348994365</v>
      </c>
      <c r="I16" s="27">
        <f t="shared" si="2"/>
        <v>0.68386654919981538</v>
      </c>
      <c r="J16" s="27">
        <f t="shared" si="2"/>
        <v>0.6218908991773584</v>
      </c>
      <c r="K16" s="27">
        <f t="shared" si="2"/>
        <v>0.56553181455088453</v>
      </c>
      <c r="L16" s="27">
        <f t="shared" si="2"/>
        <v>0.51428029207741155</v>
      </c>
      <c r="M16" s="27">
        <f t="shared" si="2"/>
        <v>0.46767345711446356</v>
      </c>
      <c r="N16" s="27">
        <f t="shared" si="2"/>
        <v>0.42529038319919044</v>
      </c>
      <c r="O16" s="27">
        <f t="shared" si="2"/>
        <v>0.38674829047962339</v>
      </c>
    </row>
    <row r="17" spans="2:15">
      <c r="B17" s="34" t="s">
        <v>182</v>
      </c>
      <c r="C17" s="35">
        <f>(C14*C13)+(C15*C11*(1-C10))</f>
        <v>9.9656788842607064E-2</v>
      </c>
      <c r="E17" t="s">
        <v>187</v>
      </c>
      <c r="F17">
        <f>F10*F16</f>
        <v>1140.1052047512649</v>
      </c>
      <c r="G17">
        <f t="shared" ref="G17:O17" si="3">G10*G16</f>
        <v>1321.7608187488718</v>
      </c>
      <c r="H17">
        <f t="shared" si="3"/>
        <v>2497.3117912552761</v>
      </c>
      <c r="I17">
        <f t="shared" si="3"/>
        <v>2239.3358283486409</v>
      </c>
      <c r="J17">
        <f t="shared" si="3"/>
        <v>646.86232580040337</v>
      </c>
      <c r="K17">
        <f t="shared" si="3"/>
        <v>3447.8371853134986</v>
      </c>
      <c r="L17">
        <f t="shared" si="3"/>
        <v>3918.2873113465616</v>
      </c>
      <c r="M17">
        <f t="shared" si="3"/>
        <v>3049.26048654334</v>
      </c>
      <c r="N17">
        <f t="shared" si="3"/>
        <v>3096.6958851963614</v>
      </c>
      <c r="O17">
        <f t="shared" si="3"/>
        <v>2036.0584817808769</v>
      </c>
    </row>
    <row r="18" spans="2:15">
      <c r="E18" t="s">
        <v>188</v>
      </c>
      <c r="O18">
        <f>F14*O16</f>
        <v>34277.307394057716</v>
      </c>
    </row>
    <row r="20" spans="2:15">
      <c r="E20" s="34" t="s">
        <v>189</v>
      </c>
      <c r="F20" s="34">
        <f>SUM(F17:O18)</f>
        <v>57670.822713142814</v>
      </c>
    </row>
    <row r="21" spans="2:15">
      <c r="E21" s="34" t="s">
        <v>190</v>
      </c>
      <c r="F21" s="34">
        <f>F20-('Historical FS'!C37-'Historical FS'!C50)</f>
        <v>59221.822713142814</v>
      </c>
    </row>
    <row r="23" spans="2:15">
      <c r="E23" t="s">
        <v>191</v>
      </c>
      <c r="F23" s="36">
        <f>'Data Sheet'!K124/10</f>
        <v>23.495999999999999</v>
      </c>
    </row>
    <row r="24" spans="2:15">
      <c r="E24" s="34" t="s">
        <v>192</v>
      </c>
      <c r="F24" s="37">
        <f>F21/F23</f>
        <v>2520.5065846587854</v>
      </c>
    </row>
  </sheetData>
  <mergeCells count="2">
    <mergeCell ref="B2:C2"/>
    <mergeCell ref="E2:K2"/>
  </mergeCells>
  <pageMargins left="0.7" right="0.7" top="0.75" bottom="0.75" header="0.3" footer="0.3"/>
  <ignoredErrors>
    <ignoredError sqref="C14:C15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Q23"/>
  <sheetViews>
    <sheetView showGridLines="0" zoomScale="90" zoomScaleNormal="90" workbookViewId="0">
      <pane xSplit="2" ySplit="4" topLeftCell="C5" activePane="bottomRight" state="frozen"/>
      <selection pane="topRight"/>
      <selection pane="bottomLeft"/>
      <selection pane="bottomRight" activeCell="S25" sqref="S25"/>
    </sheetView>
  </sheetViews>
  <sheetFormatPr defaultColWidth="9" defaultRowHeight="14.4"/>
  <cols>
    <col min="1" max="1" width="1.88671875" customWidth="1"/>
    <col min="2" max="2" width="21.21875" customWidth="1"/>
    <col min="3" max="7" width="16.44140625" customWidth="1"/>
    <col min="9" max="12" width="12.33203125" customWidth="1"/>
    <col min="14" max="15" width="13.33203125" bestFit="1" customWidth="1"/>
    <col min="16" max="16" width="14.6640625" customWidth="1"/>
    <col min="17" max="17" width="13.33203125" bestFit="1" customWidth="1"/>
  </cols>
  <sheetData>
    <row r="2" spans="2:17">
      <c r="B2" s="108" t="str">
        <f>"COMP Analysis for "&amp;'Data Sheet'!B1</f>
        <v>COMP Analysis for HINDUSTAN UNILEVER LTD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9"/>
    </row>
    <row r="3" spans="2:17">
      <c r="B3" s="109"/>
      <c r="C3" s="108" t="s">
        <v>193</v>
      </c>
      <c r="D3" s="108"/>
      <c r="E3" s="108"/>
      <c r="F3" s="108"/>
      <c r="G3" s="108"/>
      <c r="H3" s="109"/>
      <c r="I3" s="108" t="s">
        <v>194</v>
      </c>
      <c r="J3" s="108"/>
      <c r="K3" s="108"/>
      <c r="L3" s="108"/>
      <c r="M3" s="109"/>
      <c r="N3" s="108" t="s">
        <v>195</v>
      </c>
      <c r="O3" s="108"/>
      <c r="P3" s="108"/>
      <c r="Q3" s="109"/>
    </row>
    <row r="4" spans="2:17">
      <c r="B4" s="109" t="s">
        <v>196</v>
      </c>
      <c r="C4" s="110" t="s">
        <v>192</v>
      </c>
      <c r="D4" s="110" t="s">
        <v>197</v>
      </c>
      <c r="E4" s="110" t="s">
        <v>198</v>
      </c>
      <c r="F4" s="110" t="s">
        <v>199</v>
      </c>
      <c r="G4" s="110" t="s">
        <v>189</v>
      </c>
      <c r="H4" s="109"/>
      <c r="I4" s="110" t="s">
        <v>200</v>
      </c>
      <c r="J4" s="110" t="s">
        <v>82</v>
      </c>
      <c r="K4" s="110" t="s">
        <v>83</v>
      </c>
      <c r="L4" s="110" t="s">
        <v>201</v>
      </c>
      <c r="M4" s="109"/>
      <c r="N4" s="110" t="s">
        <v>202</v>
      </c>
      <c r="O4" s="110" t="s">
        <v>203</v>
      </c>
      <c r="P4" s="110" t="s">
        <v>204</v>
      </c>
      <c r="Q4" s="109" t="s">
        <v>205</v>
      </c>
    </row>
    <row r="5" spans="2:17">
      <c r="B5" t="s">
        <v>206</v>
      </c>
      <c r="C5" s="16">
        <v>2203</v>
      </c>
      <c r="D5" s="17">
        <v>234.96</v>
      </c>
      <c r="E5" s="18">
        <f>C5*D5</f>
        <v>517616.88</v>
      </c>
      <c r="F5" s="18">
        <f>'Historical FS'!L37-'Historical FS'!L50</f>
        <v>-1770</v>
      </c>
      <c r="G5" s="18">
        <f>SUM(E5:F5)</f>
        <v>515846.88</v>
      </c>
      <c r="I5" s="18">
        <f>'Historical FS'!L6</f>
        <v>64468</v>
      </c>
      <c r="J5" s="18">
        <f>'Historical FS'!L16</f>
        <v>15039</v>
      </c>
      <c r="K5" s="18">
        <f>'Historical FS'!L21</f>
        <v>13706</v>
      </c>
      <c r="L5" s="18">
        <f>'Historical FS'!L31</f>
        <v>10136</v>
      </c>
      <c r="N5" s="19">
        <f>G5/I5</f>
        <v>8.0015958304895456</v>
      </c>
      <c r="O5" s="19">
        <f>G5/J5</f>
        <v>34.300610412926389</v>
      </c>
      <c r="P5" s="19">
        <v>47.26</v>
      </c>
      <c r="Q5" s="19">
        <f>E5/L5</f>
        <v>51.067174427782163</v>
      </c>
    </row>
    <row r="6" spans="2:17">
      <c r="B6" t="s">
        <v>207</v>
      </c>
      <c r="C6" s="16">
        <v>301.5</v>
      </c>
      <c r="D6" s="17">
        <v>1252.95</v>
      </c>
      <c r="E6" s="18">
        <f>C6*D6</f>
        <v>377764.42499999999</v>
      </c>
      <c r="F6" s="16">
        <f>2399-3009</f>
        <v>-610</v>
      </c>
      <c r="G6" s="18">
        <f>SUM(E6:F6)</f>
        <v>377154.42499999999</v>
      </c>
      <c r="I6" s="16">
        <v>78868</v>
      </c>
      <c r="J6" s="16">
        <f>28033+85+1711</f>
        <v>29829</v>
      </c>
      <c r="K6" s="16">
        <f>J6-1711</f>
        <v>28118</v>
      </c>
      <c r="L6" s="16">
        <v>21018</v>
      </c>
      <c r="N6" s="19">
        <f>G6/I6</f>
        <v>4.7820969848354196</v>
      </c>
      <c r="O6" s="19">
        <f>G6/J6</f>
        <v>12.6438843072178</v>
      </c>
      <c r="P6" s="19">
        <v>17.489999999999998</v>
      </c>
      <c r="Q6" s="19">
        <f>E6/L6</f>
        <v>17.973376391664299</v>
      </c>
    </row>
    <row r="7" spans="2:17">
      <c r="B7" t="s">
        <v>208</v>
      </c>
      <c r="C7" s="16">
        <v>536.20000000000005</v>
      </c>
      <c r="D7" s="17">
        <v>12.12</v>
      </c>
      <c r="E7" s="18">
        <f>C7*D7</f>
        <v>6498.7439999999997</v>
      </c>
      <c r="F7" s="16">
        <f>1088-52</f>
        <v>1036</v>
      </c>
      <c r="G7" s="18">
        <f>SUM(E7:F7)</f>
        <v>7534.7439999999997</v>
      </c>
      <c r="I7" s="16">
        <v>4251</v>
      </c>
      <c r="J7" s="16">
        <f>200+82+90</f>
        <v>372</v>
      </c>
      <c r="K7" s="16">
        <f>J7-90</f>
        <v>282</v>
      </c>
      <c r="L7" s="16">
        <v>149</v>
      </c>
      <c r="N7" s="19">
        <f>G7/I7</f>
        <v>1.7724638908492101</v>
      </c>
      <c r="O7" s="19">
        <f>G7/J7</f>
        <v>20.254688172043</v>
      </c>
      <c r="P7" s="19">
        <v>42.5</v>
      </c>
      <c r="Q7" s="19">
        <f>E7/L7</f>
        <v>43.6157315436242</v>
      </c>
    </row>
    <row r="8" spans="2:17">
      <c r="B8" t="s">
        <v>209</v>
      </c>
      <c r="C8" s="16">
        <v>283.75</v>
      </c>
      <c r="D8" s="17">
        <v>5.12</v>
      </c>
      <c r="E8" s="18">
        <f>C8*D8</f>
        <v>1452.8</v>
      </c>
      <c r="F8" s="16">
        <f>531-32</f>
        <v>499</v>
      </c>
      <c r="G8" s="18">
        <f>SUM(E8:F8)</f>
        <v>1951.8</v>
      </c>
      <c r="I8" s="16">
        <v>1988</v>
      </c>
      <c r="J8" s="16">
        <f>5+49+54</f>
        <v>108</v>
      </c>
      <c r="K8" s="16">
        <f>J8-54</f>
        <v>54</v>
      </c>
      <c r="L8" s="16">
        <v>4</v>
      </c>
      <c r="N8" s="19">
        <f>G8/I8</f>
        <v>0.98179074446680104</v>
      </c>
      <c r="O8" s="19">
        <f>G8/J8</f>
        <v>18.072222222222202</v>
      </c>
      <c r="P8" s="19">
        <v>43.03</v>
      </c>
      <c r="Q8" s="19">
        <f>E8/L8</f>
        <v>363.2</v>
      </c>
    </row>
    <row r="11" spans="2:17">
      <c r="B11" t="s">
        <v>210</v>
      </c>
      <c r="N11" s="19">
        <f>MAX(N5:N8)</f>
        <v>8.0015958304895456</v>
      </c>
      <c r="O11" s="19">
        <f>MAX(O5:O8)</f>
        <v>34.300610412926389</v>
      </c>
      <c r="P11" s="19">
        <f>MAX(P5:P8)</f>
        <v>47.26</v>
      </c>
      <c r="Q11" s="19">
        <f>MAX(Q5:Q8)</f>
        <v>363.2</v>
      </c>
    </row>
    <row r="12" spans="2:17">
      <c r="B12" t="s">
        <v>211</v>
      </c>
      <c r="N12">
        <f>QUARTILE(N5:N8,3)</f>
        <v>5.5869716962489511</v>
      </c>
      <c r="O12">
        <f>QUARTILE(O5:O8,3)</f>
        <v>23.766168732263846</v>
      </c>
      <c r="P12">
        <f>QUARTILE(P5:P8,3)</f>
        <v>44.087499999999999</v>
      </c>
      <c r="Q12">
        <f>QUARTILE(Q5:Q8,3)</f>
        <v>129.10038082083662</v>
      </c>
    </row>
    <row r="13" spans="2:17">
      <c r="B13" s="10" t="s">
        <v>212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20">
        <f>MEDIAN(N5:N8)</f>
        <v>3.2772804378423146</v>
      </c>
      <c r="O13" s="20">
        <f>MEDIAN(O5:O8)</f>
        <v>19.163455197132599</v>
      </c>
      <c r="P13" s="20">
        <f>MEDIAN(P5:P8)</f>
        <v>42.765000000000001</v>
      </c>
      <c r="Q13" s="20">
        <f>MEDIAN(Q5:Q8)</f>
        <v>47.341452985703185</v>
      </c>
    </row>
    <row r="14" spans="2:17">
      <c r="B14" s="10" t="s">
        <v>213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20">
        <f>AVERAGE(N5:N8)</f>
        <v>3.884486862660244</v>
      </c>
      <c r="O14" s="20">
        <f>AVERAGE(O5:O8)</f>
        <v>21.317851278602348</v>
      </c>
      <c r="P14" s="20">
        <f>AVERAGE(P5:P8)</f>
        <v>37.57</v>
      </c>
      <c r="Q14" s="20">
        <f>AVERAGE(Q5:Q8)</f>
        <v>118.96407059076766</v>
      </c>
    </row>
    <row r="15" spans="2:17">
      <c r="B15" t="s">
        <v>214</v>
      </c>
      <c r="N15">
        <f>QUARTILE(N5:N8,1)</f>
        <v>1.5747956042536078</v>
      </c>
      <c r="O15">
        <f>QUARTILE(O5:O8,1)</f>
        <v>16.7151377434711</v>
      </c>
      <c r="P15">
        <f>QUARTILE(P5:P8,1)</f>
        <v>36.247500000000002</v>
      </c>
      <c r="Q15">
        <f>QUARTILE(Q5:Q8,1)</f>
        <v>37.205142755634228</v>
      </c>
    </row>
    <row r="16" spans="2:17">
      <c r="B16" t="s">
        <v>215</v>
      </c>
      <c r="N16" s="19">
        <f>MIN(N5:N8)</f>
        <v>0.98179074446680104</v>
      </c>
      <c r="O16" s="19">
        <f>MIN(O5:O8)</f>
        <v>12.6438843072178</v>
      </c>
      <c r="P16" s="19">
        <f>MIN(P5:P8)</f>
        <v>17.489999999999998</v>
      </c>
      <c r="Q16" s="19">
        <f>MIN(Q5:Q8)</f>
        <v>17.973376391664299</v>
      </c>
    </row>
    <row r="18" spans="2:17" s="10" customFormat="1">
      <c r="B18" s="10" t="s">
        <v>206</v>
      </c>
    </row>
    <row r="19" spans="2:17">
      <c r="B19" t="s">
        <v>216</v>
      </c>
      <c r="N19" s="21">
        <f>$G$5*N13</f>
        <v>1690574.888745992</v>
      </c>
      <c r="O19" s="21">
        <f>$G$5*O13</f>
        <v>9885408.5734606367</v>
      </c>
      <c r="P19" s="21">
        <f>$G$5*P13</f>
        <v>22060191.823200002</v>
      </c>
      <c r="Q19" s="21">
        <f>$G$5*Q13</f>
        <v>24420940.817341674</v>
      </c>
    </row>
    <row r="20" spans="2:17">
      <c r="B20" t="s">
        <v>199</v>
      </c>
      <c r="N20" s="22">
        <f>$F$5</f>
        <v>-1770</v>
      </c>
      <c r="O20" s="22">
        <f>$F$5</f>
        <v>-1770</v>
      </c>
      <c r="P20" s="22">
        <f>$F$5</f>
        <v>-1770</v>
      </c>
      <c r="Q20" s="22">
        <f>$F$5</f>
        <v>-1770</v>
      </c>
    </row>
    <row r="21" spans="2:17">
      <c r="B21" t="s">
        <v>217</v>
      </c>
      <c r="N21" s="22">
        <f>N19+N20</f>
        <v>1688804.888745992</v>
      </c>
      <c r="O21" s="22">
        <f>O19+O20</f>
        <v>9883638.5734606367</v>
      </c>
      <c r="P21" s="22">
        <f>P19+P20</f>
        <v>22058421.823200002</v>
      </c>
      <c r="Q21" s="22">
        <f>Q19+Q20</f>
        <v>24419170.817341674</v>
      </c>
    </row>
    <row r="22" spans="2:17">
      <c r="B22" t="s">
        <v>218</v>
      </c>
      <c r="N22" s="22">
        <f>$D$5</f>
        <v>234.96</v>
      </c>
      <c r="O22" s="22">
        <f>$D$5</f>
        <v>234.96</v>
      </c>
      <c r="P22" s="22">
        <f>$D$5</f>
        <v>234.96</v>
      </c>
      <c r="Q22" s="22">
        <f>$D$5</f>
        <v>234.96</v>
      </c>
    </row>
    <row r="23" spans="2:17">
      <c r="B23" t="s">
        <v>219</v>
      </c>
      <c r="N23" s="21">
        <f>N21/N22</f>
        <v>7187.6272078055499</v>
      </c>
      <c r="O23" s="21">
        <f>O21/O22</f>
        <v>42065.196516260796</v>
      </c>
      <c r="P23" s="21">
        <f>P21/P22</f>
        <v>93881.604627170585</v>
      </c>
      <c r="Q23" s="21">
        <f>Q21/Q22</f>
        <v>103929.05523213174</v>
      </c>
    </row>
  </sheetData>
  <mergeCells count="4">
    <mergeCell ref="B2:P2"/>
    <mergeCell ref="C3:G3"/>
    <mergeCell ref="I3:L3"/>
    <mergeCell ref="N3:P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P43"/>
  <sheetViews>
    <sheetView showGridLines="0" workbookViewId="0">
      <selection activeCell="O8" sqref="O8"/>
    </sheetView>
  </sheetViews>
  <sheetFormatPr defaultColWidth="9" defaultRowHeight="14.4"/>
  <cols>
    <col min="1" max="1" width="1.88671875" customWidth="1"/>
    <col min="2" max="2" width="21" customWidth="1"/>
  </cols>
  <sheetData>
    <row r="2" spans="2:16">
      <c r="B2" s="96" t="str">
        <f>"Common Size Income Statement for "&amp;'Data Sheet'!$B$1</f>
        <v>Common Size Income Statement for HINDUSTAN UNILEVER LTD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6"/>
      <c r="N2" s="6"/>
      <c r="O2" s="6"/>
      <c r="P2" s="6"/>
    </row>
    <row r="3" spans="2:16">
      <c r="B3" s="7" t="s">
        <v>120</v>
      </c>
      <c r="C3" s="8">
        <f>'Data Sheet'!B$16</f>
        <v>42825</v>
      </c>
      <c r="D3" s="8">
        <f>'Data Sheet'!C$16</f>
        <v>43190</v>
      </c>
      <c r="E3" s="8">
        <f>'Data Sheet'!D$16</f>
        <v>43555</v>
      </c>
      <c r="F3" s="8">
        <f>'Data Sheet'!E$16</f>
        <v>43921</v>
      </c>
      <c r="G3" s="8">
        <f>'Data Sheet'!F$16</f>
        <v>44286</v>
      </c>
      <c r="H3" s="8">
        <f>'Data Sheet'!G$16</f>
        <v>44651</v>
      </c>
      <c r="I3" s="8">
        <f>'Data Sheet'!H$16</f>
        <v>45016</v>
      </c>
      <c r="J3" s="8">
        <f>'Data Sheet'!I$16</f>
        <v>45382</v>
      </c>
      <c r="K3" s="8">
        <f>'Data Sheet'!J$16</f>
        <v>45747</v>
      </c>
      <c r="L3" s="8">
        <f>'Data Sheet'!K$16</f>
        <v>46112</v>
      </c>
      <c r="M3" s="9"/>
      <c r="N3" s="9"/>
      <c r="O3" s="9"/>
      <c r="P3" s="9"/>
    </row>
    <row r="4" spans="2:16">
      <c r="B4" s="10" t="str">
        <f>'Data Sheet'!A17</f>
        <v>Sales</v>
      </c>
      <c r="C4" s="11">
        <f>'Data Sheet'!B17/'Data Sheet'!B$17</f>
        <v>1</v>
      </c>
      <c r="D4" s="11">
        <f>'Data Sheet'!C17/'Data Sheet'!C$17</f>
        <v>1</v>
      </c>
      <c r="E4" s="11">
        <f>'Data Sheet'!D17/'Data Sheet'!D$17</f>
        <v>1</v>
      </c>
      <c r="F4" s="11">
        <f>'Data Sheet'!E17/'Data Sheet'!E$17</f>
        <v>1</v>
      </c>
      <c r="G4" s="11">
        <f>'Data Sheet'!F17/'Data Sheet'!F$17</f>
        <v>1</v>
      </c>
      <c r="H4" s="11">
        <f>'Data Sheet'!G17/'Data Sheet'!G$17</f>
        <v>1</v>
      </c>
      <c r="I4" s="11">
        <f>'Data Sheet'!H17/'Data Sheet'!H$17</f>
        <v>1</v>
      </c>
      <c r="J4" s="11">
        <f>'Data Sheet'!I17/'Data Sheet'!I$17</f>
        <v>1</v>
      </c>
      <c r="K4" s="11">
        <f>'Data Sheet'!J17/'Data Sheet'!J$17</f>
        <v>1</v>
      </c>
      <c r="L4" s="11">
        <f>'Data Sheet'!K17/'Data Sheet'!K$17</f>
        <v>1</v>
      </c>
    </row>
    <row r="5" spans="2:16">
      <c r="B5" t="str">
        <f>'Data Sheet'!A18</f>
        <v>Raw Material Cost</v>
      </c>
      <c r="C5" s="4">
        <f>'Data Sheet'!B18/'Data Sheet'!B$17</f>
        <v>0.41028888486822301</v>
      </c>
      <c r="D5" s="4">
        <f>'Data Sheet'!C18/'Data Sheet'!C$17</f>
        <v>0.40042200028133401</v>
      </c>
      <c r="E5" s="4">
        <f>'Data Sheet'!D18/'Data Sheet'!D$17</f>
        <v>0.40307809717629101</v>
      </c>
      <c r="F5" s="4">
        <f>'Data Sheet'!E18/'Data Sheet'!E$17</f>
        <v>0.394565517934796</v>
      </c>
      <c r="G5" s="4">
        <f>'Data Sheet'!F18/'Data Sheet'!F$17</f>
        <v>0.42827677128519198</v>
      </c>
      <c r="H5" s="4">
        <f>'Data Sheet'!G18/'Data Sheet'!G$17</f>
        <v>0.43608664149792198</v>
      </c>
      <c r="I5" s="4">
        <f>'Data Sheet'!H18/'Data Sheet'!H$17</f>
        <v>0.46924727632882102</v>
      </c>
      <c r="J5" s="4">
        <f>'Data Sheet'!I18/'Data Sheet'!I$17</f>
        <v>0.43333979578648102</v>
      </c>
      <c r="K5" s="4">
        <f>'Data Sheet'!J18/'Data Sheet'!J$17</f>
        <v>0.43319972750748598</v>
      </c>
      <c r="L5" s="4">
        <f>'Data Sheet'!K18/'Data Sheet'!K$17</f>
        <v>0.49782837997145901</v>
      </c>
    </row>
    <row r="6" spans="2:16">
      <c r="B6" t="str">
        <f>'Data Sheet'!A19</f>
        <v>Change in Inventory</v>
      </c>
      <c r="C6" s="4">
        <f>'Data Sheet'!B19/'Data Sheet'!B$17</f>
        <v>-4.3423195223448504E-3</v>
      </c>
      <c r="D6" s="4">
        <f>'Data Sheet'!C19/'Data Sheet'!C$17</f>
        <v>2.0256013504008998E-3</v>
      </c>
      <c r="E6" s="4">
        <f>'Data Sheet'!D19/'Data Sheet'!D$17</f>
        <v>-3.0526583566522499E-4</v>
      </c>
      <c r="F6" s="4">
        <f>'Data Sheet'!E19/'Data Sheet'!E$17</f>
        <v>2.7147273961239701E-3</v>
      </c>
      <c r="G6" s="4">
        <f>'Data Sheet'!F19/'Data Sheet'!F$17</f>
        <v>8.6118907884664506E-3</v>
      </c>
      <c r="H6" s="4">
        <f>'Data Sheet'!G19/'Data Sheet'!G$17</f>
        <v>4.1947908324753099E-4</v>
      </c>
      <c r="I6" s="4">
        <f>'Data Sheet'!H19/'Data Sheet'!H$17</f>
        <v>1.23803235391218E-3</v>
      </c>
      <c r="J6" s="4">
        <f>'Data Sheet'!I19/'Data Sheet'!I$17</f>
        <v>1.7771746154840399E-4</v>
      </c>
      <c r="K6" s="4">
        <f>'Data Sheet'!J19/'Data Sheet'!J$17</f>
        <v>2.4239159709130102E-3</v>
      </c>
      <c r="L6" s="4">
        <f>'Data Sheet'!K19/'Data Sheet'!K$17</f>
        <v>6.6544642303158199E-3</v>
      </c>
    </row>
    <row r="7" spans="2:16">
      <c r="B7" t="str">
        <f>'Data Sheet'!A20</f>
        <v>Power and Fuel</v>
      </c>
      <c r="C7" s="4">
        <f>'Data Sheet'!B20/'Data Sheet'!B$17</f>
        <v>8.8957240214703592E-3</v>
      </c>
      <c r="D7" s="4">
        <f>'Data Sheet'!C20/'Data Sheet'!C$17</f>
        <v>8.2993388662259103E-3</v>
      </c>
      <c r="E7" s="4">
        <f>'Data Sheet'!D20/'Data Sheet'!D$17</f>
        <v>7.83515644874078E-3</v>
      </c>
      <c r="F7" s="4">
        <f>'Data Sheet'!E20/'Data Sheet'!E$17</f>
        <v>7.5157730688987798E-3</v>
      </c>
      <c r="G7" s="4">
        <f>'Data Sheet'!F20/'Data Sheet'!F$17</f>
        <v>7.2084715488645104E-3</v>
      </c>
      <c r="H7" s="4">
        <f>'Data Sheet'!G20/'Data Sheet'!G$17</f>
        <v>6.0633794760324902E-3</v>
      </c>
      <c r="I7" s="4">
        <f>'Data Sheet'!H20/'Data Sheet'!H$17</f>
        <v>6.3387256520303697E-3</v>
      </c>
      <c r="J7" s="4">
        <f>'Data Sheet'!I20/'Data Sheet'!I$17</f>
        <v>7.2056352591443702E-3</v>
      </c>
      <c r="K7" s="4">
        <f>'Data Sheet'!J20/'Data Sheet'!J$17</f>
        <v>6.7647850952931698E-3</v>
      </c>
      <c r="L7" s="4">
        <f>'Data Sheet'!K20/'Data Sheet'!K$17</f>
        <v>0</v>
      </c>
    </row>
    <row r="8" spans="2:16">
      <c r="B8" t="str">
        <f>'Data Sheet'!A21</f>
        <v>Other Mfr. Exp</v>
      </c>
      <c r="C8" s="4">
        <f>'Data Sheet'!B21/'Data Sheet'!B$17</f>
        <v>8.7057475423677699E-2</v>
      </c>
      <c r="D8" s="4">
        <f>'Data Sheet'!C21/'Data Sheet'!C$17</f>
        <v>8.4343789562526403E-2</v>
      </c>
      <c r="E8" s="4">
        <f>'Data Sheet'!D21/'Data Sheet'!D$17</f>
        <v>7.7359450521495801E-2</v>
      </c>
      <c r="F8" s="4">
        <f>'Data Sheet'!E21/'Data Sheet'!E$17</f>
        <v>7.3046276047558006E-2</v>
      </c>
      <c r="G8" s="4">
        <f>'Data Sheet'!F21/'Data Sheet'!F$17</f>
        <v>6.0984945139066098E-2</v>
      </c>
      <c r="H8" s="4">
        <f>'Data Sheet'!G21/'Data Sheet'!G$17</f>
        <v>6.3951492964191697E-2</v>
      </c>
      <c r="I8" s="4">
        <f>'Data Sheet'!H21/'Data Sheet'!H$17</f>
        <v>6.2578408715747796E-2</v>
      </c>
      <c r="J8" s="4">
        <f>'Data Sheet'!I21/'Data Sheet'!I$17</f>
        <v>5.46885097583042E-2</v>
      </c>
      <c r="K8" s="4">
        <f>'Data Sheet'!J21/'Data Sheet'!J$17</f>
        <v>6.0740482565231901E-2</v>
      </c>
      <c r="L8" s="4">
        <f>'Data Sheet'!K21/'Data Sheet'!K$17</f>
        <v>0</v>
      </c>
    </row>
    <row r="9" spans="2:16">
      <c r="B9" t="str">
        <f>'Data Sheet'!A22</f>
        <v>Employee Cost</v>
      </c>
      <c r="C9" s="4">
        <f>'Data Sheet'!B22/'Data Sheet'!B$17</f>
        <v>5.2560159218382502E-2</v>
      </c>
      <c r="D9" s="4">
        <f>'Data Sheet'!C22/'Data Sheet'!C$17</f>
        <v>5.2328034885356603E-2</v>
      </c>
      <c r="E9" s="4">
        <f>'Data Sheet'!D22/'Data Sheet'!D$17</f>
        <v>4.76977868226914E-2</v>
      </c>
      <c r="F9" s="4">
        <f>'Data Sheet'!E22/'Data Sheet'!E$17</f>
        <v>4.5748183897644699E-2</v>
      </c>
      <c r="G9" s="4">
        <f>'Data Sheet'!F22/'Data Sheet'!F$17</f>
        <v>5.0140341923960198E-2</v>
      </c>
      <c r="H9" s="4">
        <f>'Data Sheet'!G22/'Data Sheet'!G$17</f>
        <v>4.85261030393166E-2</v>
      </c>
      <c r="I9" s="4">
        <f>'Data Sheet'!H22/'Data Sheet'!H$17</f>
        <v>4.7111257840871598E-2</v>
      </c>
      <c r="J9" s="4">
        <f>'Data Sheet'!I22/'Data Sheet'!I$17</f>
        <v>4.86138037999225E-2</v>
      </c>
      <c r="K9" s="4">
        <f>'Data Sheet'!J22/'Data Sheet'!J$17</f>
        <v>4.8747643415028297E-2</v>
      </c>
      <c r="L9" s="4">
        <f>'Data Sheet'!K22/'Data Sheet'!K$17</f>
        <v>4.9249239932989998E-2</v>
      </c>
    </row>
    <row r="10" spans="2:16">
      <c r="B10" t="str">
        <f>'Data Sheet'!A23</f>
        <v>Selling and admin</v>
      </c>
      <c r="C10" s="4">
        <f>'Data Sheet'!B23/'Data Sheet'!B$17</f>
        <v>0.20170677281225499</v>
      </c>
      <c r="D10" s="4">
        <f>'Data Sheet'!C23/'Data Sheet'!C$17</f>
        <v>0.204023069348713</v>
      </c>
      <c r="E10" s="4">
        <f>'Data Sheet'!D23/'Data Sheet'!D$17</f>
        <v>0.19832103790384101</v>
      </c>
      <c r="F10" s="4">
        <f>'Data Sheet'!E23/'Data Sheet'!E$17</f>
        <v>0.19153909961541399</v>
      </c>
      <c r="G10" s="4">
        <f>'Data Sheet'!F23/'Data Sheet'!F$17</f>
        <v>0.168112613762014</v>
      </c>
      <c r="H10" s="4">
        <f>'Data Sheet'!G23/'Data Sheet'!G$17</f>
        <v>0.15566487434694701</v>
      </c>
      <c r="I10" s="4">
        <f>'Data Sheet'!H23/'Data Sheet'!H$17</f>
        <v>0.14501485638824699</v>
      </c>
      <c r="J10" s="4">
        <f>'Data Sheet'!I23/'Data Sheet'!I$17</f>
        <v>0.174163112317436</v>
      </c>
      <c r="K10" s="4">
        <f>'Data Sheet'!J23/'Data Sheet'!J$17</f>
        <v>0.169404793967142</v>
      </c>
      <c r="L10" s="4">
        <f>'Data Sheet'!K23/'Data Sheet'!K$17</f>
        <v>9.7117949990693106E-2</v>
      </c>
    </row>
    <row r="11" spans="2:16">
      <c r="B11" t="str">
        <f>'Data Sheet'!A24</f>
        <v>Other Expenses</v>
      </c>
      <c r="C11" s="4">
        <f>'Data Sheet'!B24/'Data Sheet'!B$17</f>
        <v>4.4327845123936997E-2</v>
      </c>
      <c r="D11" s="4">
        <f>'Data Sheet'!C24/'Data Sheet'!C$17</f>
        <v>4.16373610915741E-2</v>
      </c>
      <c r="E11" s="4">
        <f>'Data Sheet'!D24/'Data Sheet'!D$17</f>
        <v>3.9506486899007903E-2</v>
      </c>
      <c r="F11" s="4">
        <f>'Data Sheet'!E24/'Data Sheet'!E$17</f>
        <v>4.24301837468265E-2</v>
      </c>
      <c r="G11" s="4">
        <f>'Data Sheet'!F24/'Data Sheet'!F$17</f>
        <v>4.6674321680700903E-2</v>
      </c>
      <c r="H11" s="4">
        <f>'Data Sheet'!G24/'Data Sheet'!G$17</f>
        <v>4.4979598062769299E-2</v>
      </c>
      <c r="I11" s="4">
        <f>'Data Sheet'!H24/'Data Sheet'!H$17</f>
        <v>3.7421591284252202E-2</v>
      </c>
      <c r="J11" s="4">
        <f>'Data Sheet'!I24/'Data Sheet'!I$17</f>
        <v>4.5334108827711002E-2</v>
      </c>
      <c r="K11" s="4">
        <f>'Data Sheet'!J24/'Data Sheet'!J$17</f>
        <v>4.8414949066079398E-2</v>
      </c>
      <c r="L11" s="4">
        <f>'Data Sheet'!K24/'Data Sheet'!K$17</f>
        <v>0.129180368554942</v>
      </c>
    </row>
    <row r="12" spans="2:16">
      <c r="B12" t="str">
        <f>'Data Sheet'!A25</f>
        <v>Other Income</v>
      </c>
      <c r="C12" s="4">
        <f>'Data Sheet'!B25/'Data Sheet'!B$17</f>
        <v>1.8273927989867898E-2</v>
      </c>
      <c r="D12" s="4">
        <f>'Data Sheet'!C25/'Data Sheet'!C$17</f>
        <v>9.9310732873821896E-3</v>
      </c>
      <c r="E12" s="4">
        <f>'Data Sheet'!D25/'Data Sheet'!D$17</f>
        <v>8.1912999236835402E-3</v>
      </c>
      <c r="F12" s="4">
        <f>'Data Sheet'!E25/'Data Sheet'!E$17</f>
        <v>1.06578186662645E-2</v>
      </c>
      <c r="G12" s="4">
        <f>'Data Sheet'!F25/'Data Sheet'!F$17</f>
        <v>3.61486773836863E-3</v>
      </c>
      <c r="H12" s="4">
        <f>'Data Sheet'!G25/'Data Sheet'!G$17</f>
        <v>4.1757236014185999E-3</v>
      </c>
      <c r="I12" s="4">
        <f>'Data Sheet'!H25/'Data Sheet'!H$17</f>
        <v>7.3951799273687703E-3</v>
      </c>
      <c r="J12" s="4">
        <f>'Data Sheet'!I25/'Data Sheet'!I$17</f>
        <v>1.3199560553186E-2</v>
      </c>
      <c r="K12" s="4">
        <f>'Data Sheet'!J25/'Data Sheet'!J$17</f>
        <v>2.0943901395732E-2</v>
      </c>
      <c r="L12" s="4">
        <f>'Data Sheet'!K25/'Data Sheet'!K$17</f>
        <v>7.6363467146491296E-2</v>
      </c>
    </row>
    <row r="13" spans="2:16">
      <c r="B13" t="str">
        <f>'Data Sheet'!A26</f>
        <v>Depreciation</v>
      </c>
      <c r="C13" s="4">
        <f>'Data Sheet'!B26/'Data Sheet'!B$17</f>
        <v>1.30269585670346E-2</v>
      </c>
      <c r="D13" s="4">
        <f>'Data Sheet'!C26/'Data Sheet'!C$17</f>
        <v>1.4629343086228701E-2</v>
      </c>
      <c r="E13" s="4">
        <f>'Data Sheet'!D26/'Data Sheet'!D$17</f>
        <v>1.4372933095904299E-2</v>
      </c>
      <c r="F13" s="4">
        <f>'Data Sheet'!E26/'Data Sheet'!E$17</f>
        <v>2.51866375084835E-2</v>
      </c>
      <c r="G13" s="4">
        <f>'Data Sheet'!F26/'Data Sheet'!F$17</f>
        <v>2.28374585353406E-2</v>
      </c>
      <c r="H13" s="4">
        <f>'Data Sheet'!G26/'Data Sheet'!G$17</f>
        <v>2.0802349082866201E-2</v>
      </c>
      <c r="I13" s="4">
        <f>'Data Sheet'!H26/'Data Sheet'!H$17</f>
        <v>1.8768570485308701E-2</v>
      </c>
      <c r="J13" s="4">
        <f>'Data Sheet'!I26/'Data Sheet'!I$17</f>
        <v>1.96458575675326E-2</v>
      </c>
      <c r="K13" s="4">
        <f>'Data Sheet'!J26/'Data Sheet'!J$17</f>
        <v>2.1466706801223E-2</v>
      </c>
      <c r="L13" s="4">
        <f>'Data Sheet'!K26/'Data Sheet'!K$17</f>
        <v>2.06769249860396E-2</v>
      </c>
    </row>
    <row r="14" spans="2:16">
      <c r="B14" t="str">
        <f>'Data Sheet'!A27</f>
        <v>Interest</v>
      </c>
      <c r="C14" s="4">
        <f>'Data Sheet'!B27/'Data Sheet'!B$17</f>
        <v>1.0554248839032599E-3</v>
      </c>
      <c r="D14" s="4">
        <f>'Data Sheet'!C27/'Data Sheet'!C$17</f>
        <v>7.3146715431143599E-4</v>
      </c>
      <c r="E14" s="4">
        <f>'Data Sheet'!D27/'Data Sheet'!D$17</f>
        <v>8.3948104807936904E-4</v>
      </c>
      <c r="F14" s="4">
        <f>'Data Sheet'!E27/'Data Sheet'!E$17</f>
        <v>2.96609104391323E-3</v>
      </c>
      <c r="G14" s="4">
        <f>'Data Sheet'!F27/'Data Sheet'!F$17</f>
        <v>2.4878795611125298E-3</v>
      </c>
      <c r="H14" s="4">
        <f>'Data Sheet'!G27/'Data Sheet'!G$17</f>
        <v>2.0211264920108299E-3</v>
      </c>
      <c r="I14" s="4">
        <f>'Data Sheet'!H27/'Data Sheet'!H$17</f>
        <v>1.8818091779465201E-3</v>
      </c>
      <c r="J14" s="4">
        <f>'Data Sheet'!I27/'Data Sheet'!I$17</f>
        <v>5.3961483779242604E-3</v>
      </c>
      <c r="K14" s="4">
        <f>'Data Sheet'!J27/'Data Sheet'!J$17</f>
        <v>6.25782227784731E-3</v>
      </c>
      <c r="L14" s="4">
        <f>'Data Sheet'!K27/'Data Sheet'!K$17</f>
        <v>6.3597443692995003E-3</v>
      </c>
    </row>
    <row r="15" spans="2:16">
      <c r="B15" t="str">
        <f>'Data Sheet'!A28</f>
        <v>Profit before tax</v>
      </c>
      <c r="C15" s="4">
        <f>'Data Sheet'!B28/'Data Sheet'!B$17</f>
        <v>0.19501236354863999</v>
      </c>
      <c r="D15" s="4">
        <f>'Data Sheet'!C28/'Data Sheet'!C$17</f>
        <v>0.20554227036151401</v>
      </c>
      <c r="E15" s="4">
        <f>'Data Sheet'!D28/'Data Sheet'!D$17</f>
        <v>0.218875604171966</v>
      </c>
      <c r="F15" s="4">
        <f>'Data Sheet'!E28/'Data Sheet'!E$17</f>
        <v>0.23037478319885399</v>
      </c>
      <c r="G15" s="4">
        <f>'Data Sheet'!F28/'Data Sheet'!F$17</f>
        <v>0.22550395509058399</v>
      </c>
      <c r="H15" s="4">
        <f>'Data Sheet'!G28/'Data Sheet'!G$17</f>
        <v>0.22649963772261</v>
      </c>
      <c r="I15" s="4">
        <f>'Data Sheet'!H28/'Data Sheet'!H$17</f>
        <v>0.22027071640805501</v>
      </c>
      <c r="J15" s="4">
        <f>'Data Sheet'!I28/'Data Sheet'!I$17</f>
        <v>0.224990306320279</v>
      </c>
      <c r="K15" s="4">
        <f>'Data Sheet'!J28/'Data Sheet'!J$17</f>
        <v>0.22837090667131399</v>
      </c>
      <c r="L15" s="4">
        <f>'Data Sheet'!K28/'Data Sheet'!K$17</f>
        <v>0.28260532357138402</v>
      </c>
    </row>
    <row r="16" spans="2:16">
      <c r="B16" t="str">
        <f>'Data Sheet'!A29</f>
        <v>Tax</v>
      </c>
      <c r="C16" s="4">
        <f>'Data Sheet'!B29/'Data Sheet'!B$17</f>
        <v>5.9616428442192899E-2</v>
      </c>
      <c r="D16" s="4">
        <f>'Data Sheet'!C29/'Data Sheet'!C$17</f>
        <v>5.8489238992826001E-2</v>
      </c>
      <c r="E16" s="4">
        <f>'Data Sheet'!D29/'Data Sheet'!D$17</f>
        <v>6.4716357161027693E-2</v>
      </c>
      <c r="F16" s="4">
        <f>'Data Sheet'!E29/'Data Sheet'!E$17</f>
        <v>6.0553502752431897E-2</v>
      </c>
      <c r="G16" s="4">
        <f>'Data Sheet'!F29/'Data Sheet'!F$17</f>
        <v>5.5413796036403798E-2</v>
      </c>
      <c r="H16" s="4">
        <f>'Data Sheet'!G29/'Data Sheet'!G$17</f>
        <v>5.6953819166380697E-2</v>
      </c>
      <c r="I16" s="4">
        <f>'Data Sheet'!H29/'Data Sheet'!H$17</f>
        <v>5.2839220864971899E-2</v>
      </c>
      <c r="J16" s="4">
        <f>'Data Sheet'!I29/'Data Sheet'!I$17</f>
        <v>5.8872948171125802E-2</v>
      </c>
      <c r="K16" s="4">
        <f>'Data Sheet'!J29/'Data Sheet'!J$17</f>
        <v>5.9314649641165403E-2</v>
      </c>
      <c r="L16" s="4">
        <f>'Data Sheet'!K29/'Data Sheet'!K$17</f>
        <v>4.9016566358503398E-2</v>
      </c>
    </row>
    <row r="17" spans="2:12">
      <c r="B17" t="str">
        <f>'Data Sheet'!A30</f>
        <v>Net profit</v>
      </c>
      <c r="C17" s="4">
        <f>'Data Sheet'!B30/'Data Sheet'!B$17</f>
        <v>0.134973765152886</v>
      </c>
      <c r="D17" s="4">
        <f>'Data Sheet'!C30/'Data Sheet'!C$17</f>
        <v>0.146687297791532</v>
      </c>
      <c r="E17" s="4">
        <f>'Data Sheet'!D30/'Data Sheet'!D$17</f>
        <v>0.15400661409310601</v>
      </c>
      <c r="F17" s="4">
        <f>'Data Sheet'!E30/'Data Sheet'!E$17</f>
        <v>0.16962018952819</v>
      </c>
      <c r="G17" s="4">
        <f>'Data Sheet'!F30/'Data Sheet'!F$17</f>
        <v>0.17000510334268901</v>
      </c>
      <c r="H17" s="4">
        <f>'Data Sheet'!G30/'Data Sheet'!G$17</f>
        <v>0.169297944552492</v>
      </c>
      <c r="I17" s="4">
        <f>'Data Sheet'!H30/'Data Sheet'!H$17</f>
        <v>0.16705183228788401</v>
      </c>
      <c r="J17" s="4">
        <f>'Data Sheet'!I30/'Data Sheet'!I$17</f>
        <v>0.16603657748481301</v>
      </c>
      <c r="K17" s="4">
        <f>'Data Sheet'!J30/'Data Sheet'!J$17</f>
        <v>0.16870772009315399</v>
      </c>
      <c r="L17" s="4">
        <f>'Data Sheet'!K30/'Data Sheet'!K$17</f>
        <v>0.23329403735186399</v>
      </c>
    </row>
    <row r="18" spans="2:12">
      <c r="B18" t="str">
        <f>'Data Sheet'!A31</f>
        <v>Dividend Amount</v>
      </c>
      <c r="C18" s="4">
        <f>'Data Sheet'!B31/'Data Sheet'!B$17</f>
        <v>0.110729147819794</v>
      </c>
      <c r="D18" s="4">
        <f>'Data Sheet'!C31/'Data Sheet'!C$17</f>
        <v>0.121536081024054</v>
      </c>
      <c r="E18" s="4">
        <f>'Data Sheet'!D31/'Data Sheet'!D$17</f>
        <v>0.120885270923429</v>
      </c>
      <c r="F18" s="4">
        <f>'Data Sheet'!E31/'Data Sheet'!E$17</f>
        <v>0.13573636980619899</v>
      </c>
      <c r="G18" s="4">
        <f>'Data Sheet'!F31/'Data Sheet'!F$17</f>
        <v>0.20237943352896101</v>
      </c>
      <c r="H18" s="4">
        <f>'Data Sheet'!G31/'Data Sheet'!G$17</f>
        <v>0.15234717614307999</v>
      </c>
      <c r="I18" s="4">
        <f>'Data Sheet'!H31/'Data Sheet'!H$17</f>
        <v>0.15128755364806901</v>
      </c>
      <c r="J18" s="4">
        <f>'Data Sheet'!I31/'Data Sheet'!I$17</f>
        <v>0.15946103140752199</v>
      </c>
      <c r="K18" s="4">
        <f>'Data Sheet'!J31/'Data Sheet'!J$17</f>
        <v>0.19731943410275499</v>
      </c>
      <c r="L18" s="4">
        <f>'Data Sheet'!K31/'Data Sheet'!K$17</f>
        <v>0.14945399267853801</v>
      </c>
    </row>
    <row r="19" spans="2:12">
      <c r="B19" t="str">
        <f>'Data Sheet'!A32</f>
        <v>EBITDA</v>
      </c>
      <c r="C19" s="4">
        <f>'Data Sheet'!B32/'Data Sheet'!B$17</f>
        <v>0.209094746999578</v>
      </c>
      <c r="D19" s="4">
        <f>'Data Sheet'!C32/'Data Sheet'!C$17</f>
        <v>0.22090308060205399</v>
      </c>
      <c r="E19" s="4">
        <f>'Data Sheet'!D32/'Data Sheet'!D$17</f>
        <v>0.23408801831595</v>
      </c>
      <c r="F19" s="4">
        <f>'Data Sheet'!E32/'Data Sheet'!E$17</f>
        <v>0.25852751175125099</v>
      </c>
      <c r="G19" s="4">
        <f>'Data Sheet'!F32/'Data Sheet'!F$17</f>
        <v>0.250829293187038</v>
      </c>
      <c r="H19" s="4">
        <f>'Data Sheet'!G32/'Data Sheet'!G$17</f>
        <v>0.24932311329748699</v>
      </c>
      <c r="I19" s="4">
        <f>'Data Sheet'!H32/'Data Sheet'!H$17</f>
        <v>0.24092109607131099</v>
      </c>
      <c r="J19" s="4">
        <f>'Data Sheet'!I32/'Data Sheet'!I$17</f>
        <v>0.25003231226573602</v>
      </c>
      <c r="K19" s="4">
        <f>'Data Sheet'!J32/'Data Sheet'!J$17</f>
        <v>0.25609543575038402</v>
      </c>
      <c r="L19" s="4">
        <f>'Data Sheet'!K32/'Data Sheet'!K$17</f>
        <v>0.30964199292672301</v>
      </c>
    </row>
    <row r="20" spans="2:12">
      <c r="B20" t="str">
        <f>'Data Sheet'!A33</f>
        <v>EBIT</v>
      </c>
      <c r="C20" s="4">
        <f>'Data Sheet'!B33/'Data Sheet'!B$17</f>
        <v>0.19606778843254299</v>
      </c>
      <c r="D20" s="4">
        <f>'Data Sheet'!C33/'Data Sheet'!C$17</f>
        <v>0.20627373751582501</v>
      </c>
      <c r="E20" s="4">
        <f>'Data Sheet'!D33/'Data Sheet'!D$17</f>
        <v>0.21971508522004601</v>
      </c>
      <c r="F20" s="4">
        <f>'Data Sheet'!E33/'Data Sheet'!E$17</f>
        <v>0.233340874242767</v>
      </c>
      <c r="G20" s="4">
        <f>'Data Sheet'!F33/'Data Sheet'!F$17</f>
        <v>0.22799183465169701</v>
      </c>
      <c r="H20" s="4">
        <f>'Data Sheet'!G33/'Data Sheet'!G$17</f>
        <v>0.228520764214621</v>
      </c>
      <c r="I20" s="4">
        <f>'Data Sheet'!H33/'Data Sheet'!H$17</f>
        <v>0.22215252558600199</v>
      </c>
      <c r="J20" s="4">
        <f>'Data Sheet'!I33/'Data Sheet'!I$17</f>
        <v>0.23038645469820301</v>
      </c>
      <c r="K20" s="4">
        <f>'Data Sheet'!J33/'Data Sheet'!J$17</f>
        <v>0.23462872894916101</v>
      </c>
      <c r="L20" s="4">
        <f>'Data Sheet'!K33/'Data Sheet'!K$17</f>
        <v>0.288965067940684</v>
      </c>
    </row>
    <row r="23" spans="2:12">
      <c r="B23" s="96" t="str">
        <f>"Common Size Balance Sheet for "&amp;'Data Sheet'!$B$1</f>
        <v>Common Size Balance Sheet for HINDUSTAN UNILEVER LTD</v>
      </c>
      <c r="C23" s="96"/>
      <c r="D23" s="96"/>
      <c r="E23" s="96"/>
      <c r="F23" s="96"/>
      <c r="G23" s="96"/>
      <c r="H23" s="96"/>
      <c r="I23" s="96"/>
      <c r="J23" s="96"/>
      <c r="K23" s="96"/>
      <c r="L23" s="96"/>
    </row>
    <row r="24" spans="2:12">
      <c r="B24" s="7" t="s">
        <v>120</v>
      </c>
      <c r="C24" s="8">
        <f>'Data Sheet'!B$16</f>
        <v>42825</v>
      </c>
      <c r="D24" s="8">
        <f>'Data Sheet'!C$16</f>
        <v>43190</v>
      </c>
      <c r="E24" s="8">
        <f>'Data Sheet'!D$16</f>
        <v>43555</v>
      </c>
      <c r="F24" s="8">
        <f>'Data Sheet'!E$16</f>
        <v>43921</v>
      </c>
      <c r="G24" s="8">
        <f>'Data Sheet'!F$16</f>
        <v>44286</v>
      </c>
      <c r="H24" s="8">
        <f>'Data Sheet'!G$16</f>
        <v>44651</v>
      </c>
      <c r="I24" s="8">
        <f>'Data Sheet'!H$16</f>
        <v>45016</v>
      </c>
      <c r="J24" s="8">
        <f>'Data Sheet'!I$16</f>
        <v>45382</v>
      </c>
      <c r="K24" s="8">
        <f>'Data Sheet'!J$16</f>
        <v>45747</v>
      </c>
      <c r="L24" s="8">
        <f>'Data Sheet'!K$16</f>
        <v>46112</v>
      </c>
    </row>
    <row r="25" spans="2:12">
      <c r="B25" t="str">
        <f>'Historical FS'!B35</f>
        <v>Equity Share Capital</v>
      </c>
      <c r="C25" s="4">
        <f>'Historical FS'!C35/'Historical FS'!C$41</f>
        <v>1.3752705972239909E-2</v>
      </c>
      <c r="D25" s="4">
        <f>'Historical FS'!D35/'Historical FS'!D$41</f>
        <v>1.2092710782667115E-2</v>
      </c>
      <c r="E25" s="4">
        <f>'Historical FS'!E35/'Historical FS'!E$41</f>
        <v>1.1594825272424714E-2</v>
      </c>
      <c r="F25" s="4">
        <f>'Historical FS'!F35/'Historical FS'!F$41</f>
        <v>1.0718007244578972E-2</v>
      </c>
      <c r="G25" s="4">
        <f>'Historical FS'!G35/'Historical FS'!G$41</f>
        <v>3.4186790805935409E-3</v>
      </c>
      <c r="H25" s="4">
        <f>'Historical FS'!H35/'Historical FS'!H$41</f>
        <v>3.3330496695316712E-3</v>
      </c>
      <c r="I25" s="4">
        <f>'Historical FS'!I35/'Historical FS'!I$41</f>
        <v>3.2157860886462223E-3</v>
      </c>
      <c r="J25" s="4">
        <f>'Historical FS'!J35/'Historical FS'!J$41</f>
        <v>2.9940501216731007E-3</v>
      </c>
      <c r="K25" s="4">
        <f>'Historical FS'!K35/'Historical FS'!K$41</f>
        <v>2.9425390982056772E-3</v>
      </c>
      <c r="L25" s="4">
        <f>'Historical FS'!L35/'Historical FS'!L$41</f>
        <v>2.9466345671581903E-3</v>
      </c>
    </row>
    <row r="26" spans="2:12">
      <c r="B26" t="str">
        <f>'Historical FS'!B36</f>
        <v>Reserves</v>
      </c>
      <c r="C26" s="4">
        <f>'Historical FS'!C36/'Historical FS'!C$41</f>
        <v>0.41563733604991721</v>
      </c>
      <c r="D26" s="4">
        <f>'Historical FS'!D36/'Historical FS'!D$41</f>
        <v>0.3955324151830702</v>
      </c>
      <c r="E26" s="4">
        <f>'Historical FS'!E36/'Historical FS'!E$41</f>
        <v>0.41070374147834021</v>
      </c>
      <c r="F26" s="4">
        <f>'Historical FS'!F36/'Historical FS'!F$41</f>
        <v>0.39760829653153379</v>
      </c>
      <c r="G26" s="4">
        <f>'Historical FS'!G36/'Historical FS'!G$41</f>
        <v>0.69012219959266807</v>
      </c>
      <c r="H26" s="4">
        <f>'Historical FS'!H36/'Historical FS'!H$41</f>
        <v>0.69250843899809944</v>
      </c>
      <c r="I26" s="4">
        <f>'Historical FS'!I36/'Historical FS'!I$41</f>
        <v>0.68515401562735201</v>
      </c>
      <c r="J26" s="4">
        <f>'Historical FS'!J36/'Historical FS'!J$41</f>
        <v>0.64955598873727527</v>
      </c>
      <c r="K26" s="4">
        <f>'Historical FS'!K36/'Historical FS'!K$41</f>
        <v>0.6156417865594831</v>
      </c>
      <c r="L26" s="4">
        <f>'Historical FS'!L36/'Historical FS'!L$41</f>
        <v>0.60818537466145051</v>
      </c>
    </row>
    <row r="27" spans="2:12">
      <c r="B27" t="str">
        <f>'Historical FS'!B37</f>
        <v>Borrowings</v>
      </c>
      <c r="C27" s="4">
        <f>'Historical FS'!C37/'Historical FS'!C$41</f>
        <v>1.7636572010696547E-2</v>
      </c>
      <c r="D27" s="4">
        <f>'Historical FS'!D37/'Historical FS'!D$41</f>
        <v>0</v>
      </c>
      <c r="E27" s="4">
        <f>'Historical FS'!E37/'Historical FS'!E$41</f>
        <v>5.3142949165279939E-3</v>
      </c>
      <c r="F27" s="4">
        <f>'Historical FS'!F37/'Historical FS'!F$41</f>
        <v>0</v>
      </c>
      <c r="G27" s="4">
        <f>'Historical FS'!G37/'Historical FS'!G$41</f>
        <v>0</v>
      </c>
      <c r="H27" s="4">
        <f>'Historical FS'!H37/'Historical FS'!H$41</f>
        <v>1.4793067256687375E-2</v>
      </c>
      <c r="I27" s="4">
        <f>'Historical FS'!I37/'Historical FS'!I$41</f>
        <v>1.668103507259466E-2</v>
      </c>
      <c r="J27" s="4">
        <f>'Historical FS'!J37/'Historical FS'!J$41</f>
        <v>1.8907108002395239E-2</v>
      </c>
      <c r="K27" s="4">
        <f>'Historical FS'!K37/'Historical FS'!K$41</f>
        <v>2.0635338016353005E-2</v>
      </c>
      <c r="L27" s="4">
        <f>'Historical FS'!L37/'Historical FS'!L$41</f>
        <v>1.8532450596850235E-2</v>
      </c>
    </row>
    <row r="28" spans="2:12">
      <c r="B28" t="str">
        <f>'Historical FS'!B38</f>
        <v>Other Liabilities</v>
      </c>
      <c r="C28" s="4">
        <f>'Historical FS'!C38/'Historical FS'!C$41</f>
        <v>0.15911116770660894</v>
      </c>
      <c r="D28" s="4">
        <f>'Historical FS'!D38/'Historical FS'!D$41</f>
        <v>0.19096405777628486</v>
      </c>
      <c r="E28" s="4">
        <f>'Historical FS'!E38/'Historical FS'!E$41</f>
        <v>0.18557088410542702</v>
      </c>
      <c r="F28" s="4">
        <f>'Historical FS'!F38/'Historical FS'!F$41</f>
        <v>0.21778395276137547</v>
      </c>
      <c r="G28" s="4">
        <f>'Historical FS'!G38/'Historical FS'!G$41</f>
        <v>0.17841140529531568</v>
      </c>
      <c r="H28" s="4">
        <f>'Historical FS'!H38/'Historical FS'!H$41</f>
        <v>0.16075227640200834</v>
      </c>
      <c r="I28" s="4">
        <f>'Historical FS'!I38/'Historical FS'!I$41</f>
        <v>0.16393666954034786</v>
      </c>
      <c r="J28" s="4">
        <f>'Historical FS'!J38/'Historical FS'!J$41</f>
        <v>0.19494451451795794</v>
      </c>
      <c r="K28" s="4">
        <f>'Historical FS'!K38/'Historical FS'!K$41</f>
        <v>0.2191002091080976</v>
      </c>
      <c r="L28" s="4">
        <f>'Historical FS'!L38/'Historical FS'!L$41</f>
        <v>0.2032550907814224</v>
      </c>
    </row>
    <row r="29" spans="2:12">
      <c r="B29" t="str">
        <f>'Historical FS'!B39</f>
        <v>Trade Payables</v>
      </c>
      <c r="C29" s="4">
        <f>'Historical FS'!C39/'Historical FS'!C$41</f>
        <v>0.39386221826053736</v>
      </c>
      <c r="D29" s="4">
        <f>'Historical FS'!D39/'Historical FS'!D$41</f>
        <v>0.40141081625797781</v>
      </c>
      <c r="E29" s="4">
        <f>'Historical FS'!E39/'Historical FS'!E$41</f>
        <v>0.38681625422728005</v>
      </c>
      <c r="F29" s="4">
        <f>'Historical FS'!F39/'Historical FS'!F$41</f>
        <v>0.3738897434625118</v>
      </c>
      <c r="G29" s="4">
        <f>'Historical FS'!G39/'Historical FS'!G$41</f>
        <v>0.12804771603142276</v>
      </c>
      <c r="H29" s="4">
        <f>'Historical FS'!H39/'Historical FS'!H$41</f>
        <v>0.12861316767367317</v>
      </c>
      <c r="I29" s="4">
        <f>'Historical FS'!I39/'Historical FS'!I$41</f>
        <v>0.1310124936710593</v>
      </c>
      <c r="J29" s="4">
        <f>'Historical FS'!J39/'Historical FS'!J$41</f>
        <v>0.13359833862069845</v>
      </c>
      <c r="K29" s="4">
        <f>'Historical FS'!K39/'Historical FS'!K$41</f>
        <v>0.14168012721786058</v>
      </c>
      <c r="L29" s="4">
        <f>'Historical FS'!L39/'Historical FS'!L$41</f>
        <v>0.16708044939311867</v>
      </c>
    </row>
    <row r="30" spans="2:12"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2:12">
      <c r="B31" s="12" t="str">
        <f>'Historical FS'!B41</f>
        <v>Total Liabilities</v>
      </c>
      <c r="C31" s="13">
        <f>'Historical FS'!C41/'Historical FS'!C$41</f>
        <v>1</v>
      </c>
      <c r="D31" s="13">
        <f>'Historical FS'!D41/'Historical FS'!D$41</f>
        <v>1</v>
      </c>
      <c r="E31" s="13">
        <f>'Historical FS'!E41/'Historical FS'!E$41</f>
        <v>1</v>
      </c>
      <c r="F31" s="13">
        <f>'Historical FS'!F41/'Historical FS'!F$41</f>
        <v>1</v>
      </c>
      <c r="G31" s="13">
        <f>'Historical FS'!G41/'Historical FS'!G$41</f>
        <v>1</v>
      </c>
      <c r="H31" s="13">
        <f>'Historical FS'!H41/'Historical FS'!H$41</f>
        <v>1</v>
      </c>
      <c r="I31" s="13">
        <f>'Historical FS'!I41/'Historical FS'!I$41</f>
        <v>1</v>
      </c>
      <c r="J31" s="13">
        <f>'Historical FS'!J41/'Historical FS'!J$41</f>
        <v>1</v>
      </c>
      <c r="K31" s="13">
        <f>'Historical FS'!K41/'Historical FS'!K$41</f>
        <v>1</v>
      </c>
      <c r="L31" s="13">
        <f>'Historical FS'!L41/'Historical FS'!L$41</f>
        <v>1</v>
      </c>
    </row>
    <row r="32" spans="2:12"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2:12">
      <c r="B33" t="str">
        <f>'Historical FS'!B43</f>
        <v>Net Block</v>
      </c>
      <c r="C33" s="4">
        <f>'Historical FS'!C43/'Historical FS'!C$53</f>
        <v>0.2813574430154081</v>
      </c>
      <c r="D33" s="4">
        <f>'Historical FS'!D43/'Historical FS'!D$53</f>
        <v>0.25349904825887359</v>
      </c>
      <c r="E33" s="4">
        <f>'Historical FS'!E43/'Historical FS'!E$53</f>
        <v>0.25310000536797467</v>
      </c>
      <c r="F33" s="4">
        <f>'Historical FS'!F43/'Historical FS'!F$53</f>
        <v>0.27187019302337123</v>
      </c>
      <c r="G33" s="4">
        <f>'Historical FS'!G43/'Historical FS'!G$53</f>
        <v>0.74837067209775965</v>
      </c>
      <c r="H33" s="4">
        <f>'Historical FS'!H43/'Historical FS'!H$53</f>
        <v>0.73005134314810083</v>
      </c>
      <c r="I33" s="4">
        <f>'Historical FS'!I43/'Historical FS'!I$53</f>
        <v>0.720856083309386</v>
      </c>
      <c r="J33" s="4">
        <f>'Historical FS'!J43/'Historical FS'!J$53</f>
        <v>0.68473289250723035</v>
      </c>
      <c r="K33" s="4">
        <f>'Historical FS'!K43/'Historical FS'!K$53</f>
        <v>0.68035260383406582</v>
      </c>
      <c r="L33" s="4">
        <f>'Historical FS'!L43/'Historical FS'!L$53</f>
        <v>0.72008225499047041</v>
      </c>
    </row>
    <row r="34" spans="2:12">
      <c r="B34" t="str">
        <f>'Historical FS'!B44</f>
        <v>Capital Work in Progress</v>
      </c>
      <c r="C34" s="4">
        <f>'Historical FS'!C44/'Historical FS'!C$53</f>
        <v>1.458041512797657E-2</v>
      </c>
      <c r="D34" s="4">
        <f>'Historical FS'!D44/'Historical FS'!D$53</f>
        <v>2.5808979957451572E-2</v>
      </c>
      <c r="E34" s="4">
        <f>'Historical FS'!E44/'Historical FS'!E$53</f>
        <v>2.1793977132427936E-2</v>
      </c>
      <c r="F34" s="4">
        <f>'Historical FS'!F44/'Historical FS'!F$53</f>
        <v>2.9623381134322432E-2</v>
      </c>
      <c r="G34" s="4">
        <f>'Historical FS'!G44/'Historical FS'!G$53</f>
        <v>1.0837940064009311E-2</v>
      </c>
      <c r="H34" s="4">
        <f>'Historical FS'!H44/'Historical FS'!H$53</f>
        <v>1.8622528579128019E-2</v>
      </c>
      <c r="I34" s="4">
        <f>'Historical FS'!I44/'Historical FS'!I$53</f>
        <v>1.5490510009989463E-2</v>
      </c>
      <c r="J34" s="4">
        <f>'Historical FS'!J44/'Historical FS'!J$53</f>
        <v>1.305915478602097E-2</v>
      </c>
      <c r="K34" s="4">
        <f>'Historical FS'!K44/'Historical FS'!K$53</f>
        <v>1.263413595782778E-2</v>
      </c>
      <c r="L34" s="4">
        <f>'Historical FS'!L44/'Historical FS'!L$53</f>
        <v>1.1034206038720032E-2</v>
      </c>
    </row>
    <row r="35" spans="2:12">
      <c r="B35" t="str">
        <f>'Historical FS'!B45</f>
        <v>Investments</v>
      </c>
      <c r="C35" s="4">
        <f>'Historical FS'!C45/'Historical FS'!C$53</f>
        <v>0.24156373360499173</v>
      </c>
      <c r="D35" s="4">
        <f>'Historical FS'!D45/'Historical FS'!D$53</f>
        <v>0.16084425036390101</v>
      </c>
      <c r="E35" s="4">
        <f>'Historical FS'!E45/'Historical FS'!E$53</f>
        <v>0.14579419185141446</v>
      </c>
      <c r="F35" s="4">
        <f>'Historical FS'!F45/'Historical FS'!F$53</f>
        <v>6.2273606907160224E-2</v>
      </c>
      <c r="G35" s="4">
        <f>'Historical FS'!G45/'Historical FS'!G$53</f>
        <v>3.9409368635437883E-2</v>
      </c>
      <c r="H35" s="4">
        <f>'Historical FS'!H45/'Historical FS'!H$53</f>
        <v>4.9939012282642609E-2</v>
      </c>
      <c r="I35" s="4">
        <f>'Historical FS'!I45/'Historical FS'!I$53</f>
        <v>3.9437853223312398E-2</v>
      </c>
      <c r="J35" s="4">
        <f>'Historical FS'!J45/'Historical FS'!J$53</f>
        <v>5.8925454522289748E-2</v>
      </c>
      <c r="K35" s="4">
        <f>'Historical FS'!K45/'Historical FS'!K$53</f>
        <v>4.7706697719845238E-2</v>
      </c>
      <c r="L35" s="4">
        <f>'Historical FS'!L45/'Historical FS'!L$53</f>
        <v>5.4656936503159795E-2</v>
      </c>
    </row>
    <row r="36" spans="2:12">
      <c r="B36" t="str">
        <f>'Historical FS'!B46</f>
        <v>Other Assets</v>
      </c>
      <c r="C36" s="4">
        <f>'Historical FS'!C46/'Historical FS'!C$53</f>
        <v>0.1152425824525659</v>
      </c>
      <c r="D36" s="4">
        <f>'Historical FS'!D46/'Historical FS'!D$53</f>
        <v>0.15071100660620312</v>
      </c>
      <c r="E36" s="4">
        <f>'Historical FS'!E46/'Historical FS'!E$53</f>
        <v>0.14198292984057115</v>
      </c>
      <c r="F36" s="4">
        <f>'Historical FS'!F46/'Historical FS'!F$53</f>
        <v>0.18821019203096312</v>
      </c>
      <c r="G36" s="4">
        <f>'Historical FS'!G46/'Historical FS'!G$53</f>
        <v>5.8699447192318885E-2</v>
      </c>
      <c r="H36" s="4">
        <f>'Historical FS'!H46/'Historical FS'!H$53</f>
        <v>5.7030607324199359E-2</v>
      </c>
      <c r="I36" s="4">
        <f>'Historical FS'!I46/'Historical FS'!I$53</f>
        <v>5.9895726425551132E-2</v>
      </c>
      <c r="J36" s="4">
        <f>'Historical FS'!J46/'Historical FS'!J$53</f>
        <v>5.7549465530201682E-2</v>
      </c>
      <c r="K36" s="4">
        <f>'Historical FS'!K46/'Historical FS'!K$53</f>
        <v>6.1618020860723988E-2</v>
      </c>
      <c r="L36" s="4">
        <f>'Historical FS'!L46/'Historical FS'!L$53</f>
        <v>7.1082856856254387E-2</v>
      </c>
    </row>
    <row r="37" spans="2:12">
      <c r="B37" s="14" t="str">
        <f>'Historical FS'!B47</f>
        <v>Total Non-Current Assets</v>
      </c>
      <c r="C37" s="15">
        <f>'Historical FS'!C47/'Historical FS'!C$53</f>
        <v>0.65274417420094233</v>
      </c>
      <c r="D37" s="15">
        <f>'Historical FS'!D47/'Historical FS'!D$53</f>
        <v>0.59086328518642928</v>
      </c>
      <c r="E37" s="15">
        <f>'Historical FS'!E47/'Historical FS'!E$53</f>
        <v>0.56267110419238819</v>
      </c>
      <c r="F37" s="15">
        <f>'Historical FS'!F47/'Historical FS'!F$53</f>
        <v>0.55197737309581696</v>
      </c>
      <c r="G37" s="15">
        <f>'Historical FS'!G47/'Historical FS'!G$53</f>
        <v>0.8573174279895257</v>
      </c>
      <c r="H37" s="15">
        <f>'Historical FS'!H47/'Historical FS'!H$53</f>
        <v>0.8556434913340708</v>
      </c>
      <c r="I37" s="15">
        <f>'Historical FS'!I47/'Historical FS'!I$53</f>
        <v>0.83568017296823893</v>
      </c>
      <c r="J37" s="15">
        <f>'Historical FS'!J47/'Historical FS'!J$53</f>
        <v>0.81426696734574266</v>
      </c>
      <c r="K37" s="15">
        <f>'Historical FS'!K47/'Historical FS'!K$53</f>
        <v>0.80231145837246287</v>
      </c>
      <c r="L37" s="15">
        <f>'Historical FS'!L47/'Historical FS'!L$53</f>
        <v>0.85685625438860469</v>
      </c>
    </row>
    <row r="38" spans="2:12">
      <c r="B38" t="str">
        <f>'Historical FS'!B48</f>
        <v>Receivables</v>
      </c>
      <c r="C38" s="4">
        <f>'Historical FS'!C48/'Historical FS'!C$53</f>
        <v>6.9081879536482871E-2</v>
      </c>
      <c r="D38" s="4">
        <f>'Historical FS'!D48/'Historical FS'!D$53</f>
        <v>7.3340051505990364E-2</v>
      </c>
      <c r="E38" s="4">
        <f>'Historical FS'!E48/'Historical FS'!E$53</f>
        <v>9.748241988297815E-2</v>
      </c>
      <c r="F38" s="4">
        <f>'Historical FS'!F48/'Historical FS'!F$53</f>
        <v>5.7013844092690912E-2</v>
      </c>
      <c r="G38" s="4">
        <f>'Historical FS'!G48/'Historical FS'!G$53</f>
        <v>2.5574629036950829E-2</v>
      </c>
      <c r="H38" s="4">
        <f>'Historical FS'!H48/'Historical FS'!H$53</f>
        <v>3.1713613025841775E-2</v>
      </c>
      <c r="I38" s="4">
        <f>'Historical FS'!I48/'Historical FS'!I$53</f>
        <v>4.2133639859326465E-2</v>
      </c>
      <c r="J38" s="4">
        <f>'Historical FS'!J48/'Historical FS'!J$53</f>
        <v>3.8183694530443756E-2</v>
      </c>
      <c r="K38" s="4">
        <f>'Historical FS'!K48/'Historical FS'!K$53</f>
        <v>4.781939070658503E-2</v>
      </c>
      <c r="L38" s="4">
        <f>'Historical FS'!L48/'Historical FS'!L$53</f>
        <v>4.2368843414585217E-2</v>
      </c>
    </row>
    <row r="39" spans="2:12">
      <c r="B39" t="str">
        <f>'Historical FS'!B49</f>
        <v>Inventory</v>
      </c>
      <c r="C39" s="4">
        <f>'Historical FS'!C49/'Historical FS'!C$53</f>
        <v>0.16178530497898891</v>
      </c>
      <c r="D39" s="4">
        <f>'Historical FS'!D49/'Historical FS'!D$53</f>
        <v>0.14068973239278917</v>
      </c>
      <c r="E39" s="4">
        <f>'Historical FS'!E49/'Historical FS'!E$53</f>
        <v>0.13817166782972784</v>
      </c>
      <c r="F39" s="4">
        <f>'Historical FS'!F49/'Historical FS'!F$53</f>
        <v>0.13729965761921303</v>
      </c>
      <c r="G39" s="4">
        <f>'Historical FS'!G49/'Historical FS'!G$53</f>
        <v>5.2065755018911843E-2</v>
      </c>
      <c r="H39" s="4">
        <f>'Historical FS'!H49/'Historical FS'!H$53</f>
        <v>5.8094346580432873E-2</v>
      </c>
      <c r="I39" s="4">
        <f>'Historical FS'!I49/'Historical FS'!I$53</f>
        <v>5.8171517714191878E-2</v>
      </c>
      <c r="J39" s="4">
        <f>'Historical FS'!J49/'Historical FS'!J$53</f>
        <v>5.1242849316464729E-2</v>
      </c>
      <c r="K39" s="4">
        <f>'Historical FS'!K49/'Historical FS'!K$53</f>
        <v>5.5282170717353467E-2</v>
      </c>
      <c r="L39" s="4">
        <f>'Historical FS'!L49/'Historical FS'!L$53</f>
        <v>6.0048650817534355E-2</v>
      </c>
    </row>
    <row r="40" spans="2:12">
      <c r="B40" t="str">
        <f>'Historical FS'!B50</f>
        <v>Cash &amp; Bank</v>
      </c>
      <c r="C40" s="4">
        <f>'Historical FS'!C50/'Historical FS'!C$53</f>
        <v>0.11638864128358589</v>
      </c>
      <c r="D40" s="4">
        <f>'Historical FS'!D50/'Historical FS'!D$53</f>
        <v>0.19510693091479117</v>
      </c>
      <c r="E40" s="4">
        <f>'Historical FS'!E50/'Historical FS'!E$53</f>
        <v>0.20167480809490579</v>
      </c>
      <c r="F40" s="4">
        <f>'Historical FS'!F50/'Historical FS'!F$53</f>
        <v>0.25370912519227906</v>
      </c>
      <c r="G40" s="4">
        <f>'Historical FS'!G50/'Historical FS'!G$53</f>
        <v>6.5042187954611586E-2</v>
      </c>
      <c r="H40" s="4">
        <f>'Historical FS'!H50/'Historical FS'!H$53</f>
        <v>5.4548549059654498E-2</v>
      </c>
      <c r="I40" s="4">
        <f>'Historical FS'!I50/'Historical FS'!I$53</f>
        <v>6.4014669458242676E-2</v>
      </c>
      <c r="J40" s="4">
        <f>'Historical FS'!J50/'Historical FS'!J$53</f>
        <v>9.6306488807348795E-2</v>
      </c>
      <c r="K40" s="4">
        <f>'Historical FS'!K50/'Historical FS'!K$53</f>
        <v>9.4586980203598667E-2</v>
      </c>
      <c r="L40" s="4">
        <f>'Historical FS'!L50/'Historical FS'!L$53</f>
        <v>4.0726251379275755E-2</v>
      </c>
    </row>
    <row r="41" spans="2:12">
      <c r="B41" s="14" t="str">
        <f>'Historical FS'!B51</f>
        <v>Total Current Assets</v>
      </c>
      <c r="C41" s="15">
        <f>'Historical FS'!C51/'Historical FS'!C$53</f>
        <v>0.34725582579905767</v>
      </c>
      <c r="D41" s="15">
        <f>'Historical FS'!D51/'Historical FS'!D$53</f>
        <v>0.40913671481357072</v>
      </c>
      <c r="E41" s="15">
        <f>'Historical FS'!E51/'Historical FS'!E$53</f>
        <v>0.43732889580761181</v>
      </c>
      <c r="F41" s="15">
        <f>'Historical FS'!F51/'Historical FS'!F$53</f>
        <v>0.44802262690418299</v>
      </c>
      <c r="G41" s="15">
        <f>'Historical FS'!G51/'Historical FS'!G$53</f>
        <v>0.14268257201047424</v>
      </c>
      <c r="H41" s="15">
        <f>'Historical FS'!H51/'Historical FS'!H$53</f>
        <v>0.14435650866592914</v>
      </c>
      <c r="I41" s="15">
        <f>'Historical FS'!I51/'Historical FS'!I$53</f>
        <v>0.16431982703176101</v>
      </c>
      <c r="J41" s="15">
        <f>'Historical FS'!J51/'Historical FS'!J$53</f>
        <v>0.18573303265425728</v>
      </c>
      <c r="K41" s="15">
        <f>'Historical FS'!K51/'Historical FS'!K$53</f>
        <v>0.19768854162753716</v>
      </c>
      <c r="L41" s="15">
        <f>'Historical FS'!L51/'Historical FS'!L$53</f>
        <v>0.14314374561139531</v>
      </c>
    </row>
    <row r="42" spans="2:12"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2:12">
      <c r="B43" s="12" t="str">
        <f>'Historical FS'!B53</f>
        <v>Total Assets</v>
      </c>
      <c r="C43" s="13">
        <f>'Historical FS'!C53/'Historical FS'!C$53</f>
        <v>1</v>
      </c>
      <c r="D43" s="13">
        <f>'Historical FS'!D53/'Historical FS'!D$53</f>
        <v>1</v>
      </c>
      <c r="E43" s="13">
        <f>'Historical FS'!E53/'Historical FS'!E$53</f>
        <v>1</v>
      </c>
      <c r="F43" s="13">
        <f>'Historical FS'!F53/'Historical FS'!F$53</f>
        <v>1</v>
      </c>
      <c r="G43" s="13">
        <f>'Historical FS'!G53/'Historical FS'!G$53</f>
        <v>1</v>
      </c>
      <c r="H43" s="13">
        <f>'Historical FS'!H53/'Historical FS'!H$53</f>
        <v>1</v>
      </c>
      <c r="I43" s="13">
        <f>'Historical FS'!I53/'Historical FS'!I$53</f>
        <v>1</v>
      </c>
      <c r="J43" s="13">
        <f>'Historical FS'!J53/'Historical FS'!J$53</f>
        <v>1</v>
      </c>
      <c r="K43" s="13">
        <f>'Historical FS'!K53/'Historical FS'!K$53</f>
        <v>1</v>
      </c>
      <c r="L43" s="13">
        <f>'Historical FS'!L53/'Historical FS'!L$53</f>
        <v>1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22"/>
  <sheetViews>
    <sheetView workbookViewId="0">
      <selection activeCell="S5" sqref="S5"/>
    </sheetView>
  </sheetViews>
  <sheetFormatPr defaultColWidth="9" defaultRowHeight="14.4"/>
  <cols>
    <col min="1" max="1" width="1.88671875" customWidth="1"/>
    <col min="2" max="4" width="12.88671875" customWidth="1"/>
  </cols>
  <sheetData>
    <row r="2" spans="2:4">
      <c r="B2" s="1" t="str">
        <f>"Trend Analysis for "&amp;'Data Sheet'!$B$1</f>
        <v>Trend Analysis for HINDUSTAN UNILEVER LTD</v>
      </c>
      <c r="C2" s="1"/>
      <c r="D2" s="1"/>
    </row>
    <row r="3" spans="2:4">
      <c r="B3" s="1" t="s">
        <v>120</v>
      </c>
      <c r="C3" s="1" t="s">
        <v>200</v>
      </c>
      <c r="D3" s="1" t="s">
        <v>220</v>
      </c>
    </row>
    <row r="4" spans="2:4">
      <c r="B4" s="2" cm="1">
        <f t="array" ref="B4:B17">TRANSPOSE('Historical FS'!C3:P3)</f>
        <v>42825</v>
      </c>
      <c r="C4" s="3" cm="1">
        <f t="array" ref="C4:C17">TRANSPOSE('Historical FS'!C6:P6)</f>
        <v>33162</v>
      </c>
      <c r="D4" t="s">
        <v>123</v>
      </c>
    </row>
    <row r="5" spans="2:4">
      <c r="B5" s="2">
        <v>43190</v>
      </c>
      <c r="C5" s="3">
        <v>35545</v>
      </c>
      <c r="D5" s="4">
        <f>C5/C4-1</f>
        <v>7.1859357095470644E-2</v>
      </c>
    </row>
    <row r="6" spans="2:4">
      <c r="B6" s="2">
        <v>43555</v>
      </c>
      <c r="C6" s="3">
        <v>39310</v>
      </c>
      <c r="D6" s="4">
        <f t="shared" ref="D6:D17" si="0">C6/C5-1</f>
        <v>0.1059220706147137</v>
      </c>
    </row>
    <row r="7" spans="2:4">
      <c r="B7" s="2">
        <v>43921</v>
      </c>
      <c r="C7" s="3">
        <v>39783</v>
      </c>
      <c r="D7" s="4">
        <f t="shared" si="0"/>
        <v>1.2032561689137689E-2</v>
      </c>
    </row>
    <row r="8" spans="2:4">
      <c r="B8" s="2">
        <v>44286</v>
      </c>
      <c r="C8" s="3">
        <v>47028</v>
      </c>
      <c r="D8" s="4">
        <f t="shared" si="0"/>
        <v>0.18211296282331646</v>
      </c>
    </row>
    <row r="9" spans="2:4">
      <c r="B9" s="2">
        <v>44651</v>
      </c>
      <c r="C9" s="3">
        <v>52446</v>
      </c>
      <c r="D9" s="4">
        <f t="shared" si="0"/>
        <v>0.11520796121459553</v>
      </c>
    </row>
    <row r="10" spans="2:4">
      <c r="B10" s="2">
        <v>45016</v>
      </c>
      <c r="C10" s="3">
        <v>60580</v>
      </c>
      <c r="D10" s="4">
        <f t="shared" si="0"/>
        <v>0.15509285741524614</v>
      </c>
    </row>
    <row r="11" spans="2:4">
      <c r="B11" s="2">
        <v>45382</v>
      </c>
      <c r="C11" s="3">
        <v>61896</v>
      </c>
      <c r="D11" s="4">
        <f t="shared" si="0"/>
        <v>2.1723341036645749E-2</v>
      </c>
    </row>
    <row r="12" spans="2:4">
      <c r="B12" s="2">
        <v>45747</v>
      </c>
      <c r="C12" s="3">
        <v>63121</v>
      </c>
      <c r="D12" s="4">
        <f t="shared" si="0"/>
        <v>1.9791262763344974E-2</v>
      </c>
    </row>
    <row r="13" spans="2:4">
      <c r="B13" s="2">
        <v>46112</v>
      </c>
      <c r="C13" s="3">
        <v>64468</v>
      </c>
      <c r="D13" s="4">
        <f t="shared" si="0"/>
        <v>2.1339966096861618E-2</v>
      </c>
    </row>
    <row r="14" spans="2:4">
      <c r="B14" s="5">
        <v>46477</v>
      </c>
      <c r="C14" s="3">
        <v>71580.023110502516</v>
      </c>
      <c r="D14" s="4">
        <f t="shared" si="0"/>
        <v>0.11031865593011281</v>
      </c>
    </row>
    <row r="15" spans="2:4">
      <c r="B15" s="5">
        <v>46842</v>
      </c>
      <c r="C15" s="3">
        <v>75897.690053831728</v>
      </c>
      <c r="D15" s="4">
        <f t="shared" si="0"/>
        <v>6.0319440476622299E-2</v>
      </c>
    </row>
    <row r="16" spans="2:4">
      <c r="B16" s="5">
        <v>47207</v>
      </c>
      <c r="C16" s="3">
        <v>80018.286233049817</v>
      </c>
      <c r="D16" s="4">
        <f t="shared" si="0"/>
        <v>5.4291457042967783E-2</v>
      </c>
    </row>
    <row r="17" spans="2:4">
      <c r="B17" s="5">
        <v>47572</v>
      </c>
      <c r="C17" s="3">
        <v>84102.444073946797</v>
      </c>
      <c r="D17" s="4">
        <f t="shared" si="0"/>
        <v>5.1040306324507512E-2</v>
      </c>
    </row>
    <row r="19" spans="2:4" ht="37.799999999999997" customHeight="1">
      <c r="B19" s="93" t="s">
        <v>221</v>
      </c>
      <c r="C19" s="93"/>
      <c r="D19" s="93"/>
    </row>
    <row r="20" spans="2:4">
      <c r="B20" t="s">
        <v>222</v>
      </c>
    </row>
    <row r="21" spans="2:4" ht="70.2" customHeight="1">
      <c r="B21" s="93" t="s">
        <v>223</v>
      </c>
      <c r="C21" s="93"/>
      <c r="D21" s="93"/>
    </row>
    <row r="22" spans="2:4" ht="85.8" customHeight="1">
      <c r="B22" s="93" t="s">
        <v>224</v>
      </c>
      <c r="C22" s="93"/>
      <c r="D22" s="93"/>
    </row>
  </sheetData>
  <mergeCells count="3">
    <mergeCell ref="B19:D19"/>
    <mergeCell ref="B21:D21"/>
    <mergeCell ref="B22:D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Profit &amp; Loss</vt:lpstr>
      <vt:lpstr>Quarters</vt:lpstr>
      <vt:lpstr>Balance Sheet</vt:lpstr>
      <vt:lpstr>Cash Flow</vt:lpstr>
      <vt:lpstr>Customization</vt:lpstr>
      <vt:lpstr>Data Sheet</vt:lpstr>
      <vt:lpstr>Historical FS</vt:lpstr>
      <vt:lpstr>Ratio Analysis</vt:lpstr>
      <vt:lpstr>DCF Modelling</vt:lpstr>
      <vt:lpstr>COMP Analysis</vt:lpstr>
      <vt:lpstr>Common Size Statement</vt:lpstr>
      <vt:lpstr>Trend Analysis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Bharti Chopra</cp:lastModifiedBy>
  <cp:lastPrinted>2026-05-26T10:28:00Z</cp:lastPrinted>
  <dcterms:created xsi:type="dcterms:W3CDTF">2012-08-17T09:55:00Z</dcterms:created>
  <dcterms:modified xsi:type="dcterms:W3CDTF">2026-05-27T17:13:24Z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BCC76A7AE475450FA99B0FC309395983_12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